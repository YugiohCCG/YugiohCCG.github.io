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'Cards'!$A$1:$O$578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  <color rgb="00666666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megaChecklist" displayName="OmegaChecklist" ref="A1:O578" headerRowCount="1">
  <autoFilter ref="A1:O578"/>
  <tableColumns count="15">
    <tableColumn id="1" name="ID"/>
    <tableColumn id="2" name="Name"/>
    <tableColumn id="3" name="Set Code"/>
    <tableColumn id="4" name="Set Number"/>
    <tableColumn id="5" name="Set Name"/>
    <tableColumn id="6" name="Category"/>
    <tableColumn id="7" name="Type Line"/>
    <tableColumn id="8" name="Archetype"/>
    <tableColumn id="9" name="Added"/>
    <tableColumn id="10" name="Image"/>
    <tableColumn id="11" name="Coded"/>
    <tableColumn id="12" name="Tested"/>
    <tableColumn id="13" name="Confirmed"/>
    <tableColumn id="14" name="Ready For Omega"/>
    <tableColumn id="1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26" customWidth="1" min="5" max="5"/>
    <col width="12" customWidth="1" min="6" max="6"/>
    <col width="34" customWidth="1" min="7" max="7"/>
    <col width="22" customWidth="1" min="8" max="8"/>
    <col width="14" customWidth="1" min="9" max="9"/>
    <col width="44" customWidth="1" min="10" max="10"/>
    <col width="12" customWidth="1" min="11" max="11"/>
    <col width="12" customWidth="1" min="12" max="12"/>
    <col width="12" customWidth="1" min="13" max="13"/>
    <col width="16" customWidth="1" min="14" max="14"/>
    <col width="36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Set Code</t>
        </is>
      </c>
      <c r="D1" s="1" t="inlineStr">
        <is>
          <t>Set Number</t>
        </is>
      </c>
      <c r="E1" s="1" t="inlineStr">
        <is>
          <t>Set Name</t>
        </is>
      </c>
      <c r="F1" s="1" t="inlineStr">
        <is>
          <t>Category</t>
        </is>
      </c>
      <c r="G1" s="1" t="inlineStr">
        <is>
          <t>Type Line</t>
        </is>
      </c>
      <c r="H1" s="1" t="inlineStr">
        <is>
          <t>Archetype</t>
        </is>
      </c>
      <c r="I1" s="1" t="inlineStr">
        <is>
          <t>Added</t>
        </is>
      </c>
      <c r="J1" s="1" t="inlineStr">
        <is>
          <t>Image</t>
        </is>
      </c>
      <c r="K1" s="1" t="inlineStr">
        <is>
          <t>Coded</t>
        </is>
      </c>
      <c r="L1" s="1" t="inlineStr">
        <is>
          <t>Tested</t>
        </is>
      </c>
      <c r="M1" s="1" t="inlineStr">
        <is>
          <t>Confirmed</t>
        </is>
      </c>
      <c r="N1" s="1" t="inlineStr">
        <is>
          <t>Ready For Omega</t>
        </is>
      </c>
      <c r="O1" s="1" t="inlineStr">
        <is>
          <t>Notes</t>
        </is>
      </c>
    </row>
    <row r="2">
      <c r="A2" s="2" t="inlineStr">
        <is>
          <t>CARD-0001</t>
        </is>
      </c>
      <c r="B2" s="2" t="inlineStr">
        <is>
          <t>STARDRAKE OF GRAVITIC COILS</t>
        </is>
      </c>
      <c r="C2" s="2" t="inlineStr">
        <is>
          <t>TATA</t>
        </is>
      </c>
      <c r="D2" s="2" t="inlineStr">
        <is>
          <t>001</t>
        </is>
      </c>
      <c r="E2" s="2" t="inlineStr">
        <is>
          <t>Tainted Tails</t>
        </is>
      </c>
      <c r="F2" s="2" t="inlineStr">
        <is>
          <t>Monster</t>
        </is>
      </c>
      <c r="G2" s="2" t="inlineStr">
        <is>
          <t>Machine / Effect / Xyz</t>
        </is>
      </c>
      <c r="H2" s="2" t="inlineStr">
        <is>
          <t>Stardrake</t>
        </is>
      </c>
      <c r="I2" s="2" t="inlineStr">
        <is>
          <t>2025-01-17</t>
        </is>
      </c>
      <c r="J2" s="2" t="inlineStr">
        <is>
          <t>/assets/cards/STARDRAKE-OF-GRAVITIC-COILS.jpg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No</t>
        </is>
      </c>
      <c r="N2" s="2">
        <f>IF(AND($K2="Yes",$L2="Yes",$M2="Yes"),"Yes","No")</f>
        <v/>
      </c>
      <c r="O2" s="2" t="inlineStr"/>
    </row>
    <row r="3">
      <c r="A3" s="2" t="inlineStr">
        <is>
          <t>CARD-0002</t>
        </is>
      </c>
      <c r="B3" s="2" t="inlineStr">
        <is>
          <t>REACTOR SHOCKER</t>
        </is>
      </c>
      <c r="C3" s="2" t="inlineStr">
        <is>
          <t>TATA</t>
        </is>
      </c>
      <c r="D3" s="2" t="inlineStr">
        <is>
          <t>002</t>
        </is>
      </c>
      <c r="E3" s="2" t="inlineStr">
        <is>
          <t>Tainted Tails</t>
        </is>
      </c>
      <c r="F3" s="2" t="inlineStr">
        <is>
          <t>Spell</t>
        </is>
      </c>
      <c r="G3" s="2" t="inlineStr">
        <is>
          <t>Spell / Quick-Play</t>
        </is>
      </c>
      <c r="H3" s="2" t="inlineStr">
        <is>
          <t>Reactor</t>
        </is>
      </c>
      <c r="I3" s="2" t="inlineStr">
        <is>
          <t>2025-01-17</t>
        </is>
      </c>
      <c r="J3" s="2" t="inlineStr">
        <is>
          <t>/assets/cards/REACTOR-SHOCKER.jpg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No</t>
        </is>
      </c>
      <c r="N3" s="2">
        <f>IF(AND($K3="Yes",$L3="Yes",$M3="Yes"),"Yes","No")</f>
        <v/>
      </c>
      <c r="O3" s="2" t="inlineStr"/>
    </row>
    <row r="4">
      <c r="A4" s="2" t="inlineStr">
        <is>
          <t>CARD-0003</t>
        </is>
      </c>
      <c r="B4" s="2" t="inlineStr">
        <is>
          <t>THE CONDESCENDER</t>
        </is>
      </c>
      <c r="C4" s="2" t="inlineStr">
        <is>
          <t>TATA</t>
        </is>
      </c>
      <c r="D4" s="2" t="inlineStr">
        <is>
          <t>003</t>
        </is>
      </c>
      <c r="E4" s="2" t="inlineStr">
        <is>
          <t>Tainted Tails</t>
        </is>
      </c>
      <c r="F4" s="2" t="inlineStr">
        <is>
          <t>Monster</t>
        </is>
      </c>
      <c r="G4" s="2" t="inlineStr">
        <is>
          <t>Fiend / Effect</t>
        </is>
      </c>
      <c r="H4" s="2" t="inlineStr">
        <is>
          <t>Condescender</t>
        </is>
      </c>
      <c r="I4" s="2" t="inlineStr">
        <is>
          <t>2025-01-17</t>
        </is>
      </c>
      <c r="J4" s="2" t="inlineStr">
        <is>
          <t>/assets/cards/THE-CONDESCENDER.jpg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No</t>
        </is>
      </c>
      <c r="N4" s="2">
        <f>IF(AND($K4="Yes",$L4="Yes",$M4="Yes"),"Yes","No")</f>
        <v/>
      </c>
      <c r="O4" s="2" t="inlineStr"/>
    </row>
    <row r="5">
      <c r="A5" s="2" t="inlineStr">
        <is>
          <t>CARD-0004</t>
        </is>
      </c>
      <c r="B5" s="2" t="inlineStr">
        <is>
          <t>STAINED BIRD BRIA</t>
        </is>
      </c>
      <c r="C5" s="2" t="inlineStr">
        <is>
          <t>TATA</t>
        </is>
      </c>
      <c r="D5" s="2" t="inlineStr">
        <is>
          <t>004</t>
        </is>
      </c>
      <c r="E5" s="2" t="inlineStr">
        <is>
          <t>Tainted Tails</t>
        </is>
      </c>
      <c r="F5" s="2" t="inlineStr">
        <is>
          <t>Monster</t>
        </is>
      </c>
      <c r="G5" s="2" t="inlineStr">
        <is>
          <t>Winged Beast / Effect</t>
        </is>
      </c>
      <c r="H5" s="2" t="inlineStr">
        <is>
          <t>Stain</t>
        </is>
      </c>
      <c r="I5" s="2" t="inlineStr">
        <is>
          <t>2025-01-17</t>
        </is>
      </c>
      <c r="J5" s="2" t="inlineStr">
        <is>
          <t>/assets/cards/STAINED-BIRD-BRIA.jpg</t>
        </is>
      </c>
      <c r="K5" s="2" t="inlineStr">
        <is>
          <t>No</t>
        </is>
      </c>
      <c r="L5" s="2" t="inlineStr">
        <is>
          <t>No</t>
        </is>
      </c>
      <c r="M5" s="2" t="inlineStr">
        <is>
          <t>No</t>
        </is>
      </c>
      <c r="N5" s="2">
        <f>IF(AND($K5="Yes",$L5="Yes",$M5="Yes"),"Yes","No")</f>
        <v/>
      </c>
      <c r="O5" s="2" t="inlineStr"/>
    </row>
    <row r="6">
      <c r="A6" s="2" t="inlineStr">
        <is>
          <t>CARD-0005</t>
        </is>
      </c>
      <c r="B6" s="2" t="inlineStr">
        <is>
          <t>STAINED DEER DANTE</t>
        </is>
      </c>
      <c r="C6" s="2" t="inlineStr">
        <is>
          <t>TATA</t>
        </is>
      </c>
      <c r="D6" s="2" t="inlineStr">
        <is>
          <t>005</t>
        </is>
      </c>
      <c r="E6" s="2" t="inlineStr">
        <is>
          <t>Tainted Tails</t>
        </is>
      </c>
      <c r="F6" s="2" t="inlineStr">
        <is>
          <t>Monster</t>
        </is>
      </c>
      <c r="G6" s="2" t="inlineStr">
        <is>
          <t>Beast / Effect</t>
        </is>
      </c>
      <c r="H6" s="2" t="inlineStr">
        <is>
          <t>Stain</t>
        </is>
      </c>
      <c r="I6" s="2" t="inlineStr">
        <is>
          <t>2025-01-17</t>
        </is>
      </c>
      <c r="J6" s="2" t="inlineStr">
        <is>
          <t>/assets/cards/STAINED-DEER-DANTE.jpg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No</t>
        </is>
      </c>
      <c r="N6" s="2">
        <f>IF(AND($K6="Yes",$L6="Yes",$M6="Yes"),"Yes","No")</f>
        <v/>
      </c>
      <c r="O6" s="2" t="inlineStr"/>
    </row>
    <row r="7">
      <c r="A7" s="2" t="inlineStr">
        <is>
          <t>CARD-0006</t>
        </is>
      </c>
      <c r="B7" s="2" t="inlineStr">
        <is>
          <t>STAINED FOX FENESS</t>
        </is>
      </c>
      <c r="C7" s="2" t="inlineStr">
        <is>
          <t>TATA</t>
        </is>
      </c>
      <c r="D7" s="2" t="inlineStr">
        <is>
          <t>006</t>
        </is>
      </c>
      <c r="E7" s="2" t="inlineStr">
        <is>
          <t>Tainted Tails</t>
        </is>
      </c>
      <c r="F7" s="2" t="inlineStr">
        <is>
          <t>Monster</t>
        </is>
      </c>
      <c r="G7" s="2" t="inlineStr">
        <is>
          <t>Aqua / Effect</t>
        </is>
      </c>
      <c r="H7" s="2" t="inlineStr">
        <is>
          <t>Stain</t>
        </is>
      </c>
      <c r="I7" s="2" t="inlineStr">
        <is>
          <t>2025-01-17</t>
        </is>
      </c>
      <c r="J7" s="2" t="inlineStr">
        <is>
          <t>/assets/cards/STAINED-FOX-FENESS.jpg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No</t>
        </is>
      </c>
      <c r="N7" s="2">
        <f>IF(AND($K7="Yes",$L7="Yes",$M7="Yes"),"Yes","No")</f>
        <v/>
      </c>
      <c r="O7" s="2" t="inlineStr"/>
    </row>
    <row r="8">
      <c r="A8" s="2" t="inlineStr">
        <is>
          <t>CARD-0007</t>
        </is>
      </c>
      <c r="B8" s="2" t="inlineStr">
        <is>
          <t>STAINED RAPTOR ROLLO</t>
        </is>
      </c>
      <c r="C8" s="2" t="inlineStr">
        <is>
          <t>TATA</t>
        </is>
      </c>
      <c r="D8" s="2" t="inlineStr">
        <is>
          <t>007</t>
        </is>
      </c>
      <c r="E8" s="2" t="inlineStr">
        <is>
          <t>Tainted Tails</t>
        </is>
      </c>
      <c r="F8" s="2" t="inlineStr">
        <is>
          <t>Monster</t>
        </is>
      </c>
      <c r="G8" s="2" t="inlineStr">
        <is>
          <t>Reptile / Effect</t>
        </is>
      </c>
      <c r="H8" s="2" t="inlineStr">
        <is>
          <t>Stain</t>
        </is>
      </c>
      <c r="I8" s="2" t="inlineStr">
        <is>
          <t>2025-01-17</t>
        </is>
      </c>
      <c r="J8" s="2" t="inlineStr">
        <is>
          <t>/assets/cards/STAINED-RAPTOR-ROLLO.jpg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No</t>
        </is>
      </c>
      <c r="N8" s="2">
        <f>IF(AND($K8="Yes",$L8="Yes",$M8="Yes"),"Yes","No")</f>
        <v/>
      </c>
      <c r="O8" s="2" t="inlineStr"/>
    </row>
    <row r="9">
      <c r="A9" s="2" t="inlineStr">
        <is>
          <t>CARD-0008</t>
        </is>
      </c>
      <c r="B9" s="2" t="inlineStr">
        <is>
          <t>STAINED SOLITAIRE</t>
        </is>
      </c>
      <c r="C9" s="2" t="inlineStr">
        <is>
          <t>TATA</t>
        </is>
      </c>
      <c r="D9" s="2" t="inlineStr">
        <is>
          <t>008</t>
        </is>
      </c>
      <c r="E9" s="2" t="inlineStr">
        <is>
          <t>Tainted Tails</t>
        </is>
      </c>
      <c r="F9" s="2" t="inlineStr">
        <is>
          <t>Monster</t>
        </is>
      </c>
      <c r="G9" s="2" t="inlineStr">
        <is>
          <t>Warrior / Effect</t>
        </is>
      </c>
      <c r="H9" s="2" t="inlineStr">
        <is>
          <t>Stain</t>
        </is>
      </c>
      <c r="I9" s="2" t="inlineStr">
        <is>
          <t>2025-01-17</t>
        </is>
      </c>
      <c r="J9" s="2" t="inlineStr">
        <is>
          <t>/assets/cards/STAINED-SOLITAIRE.jpg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No</t>
        </is>
      </c>
      <c r="N9" s="2">
        <f>IF(AND($K9="Yes",$L9="Yes",$M9="Yes"),"Yes","No")</f>
        <v/>
      </c>
      <c r="O9" s="2" t="inlineStr"/>
    </row>
    <row r="10">
      <c r="A10" s="2" t="inlineStr">
        <is>
          <t>CARD-0009</t>
        </is>
      </c>
      <c r="B10" s="2" t="inlineStr">
        <is>
          <t>STARGAZER OF THE STAINED</t>
        </is>
      </c>
      <c r="C10" s="2" t="inlineStr">
        <is>
          <t>TATA</t>
        </is>
      </c>
      <c r="D10" s="2" t="inlineStr">
        <is>
          <t>009</t>
        </is>
      </c>
      <c r="E10" s="2" t="inlineStr">
        <is>
          <t>Tainted Tails</t>
        </is>
      </c>
      <c r="F10" s="2" t="inlineStr">
        <is>
          <t>Monster</t>
        </is>
      </c>
      <c r="G10" s="2" t="inlineStr">
        <is>
          <t>Warrior / Effect</t>
        </is>
      </c>
      <c r="H10" s="2" t="inlineStr">
        <is>
          <t>Stain</t>
        </is>
      </c>
      <c r="I10" s="2" t="inlineStr">
        <is>
          <t>2025-01-17</t>
        </is>
      </c>
      <c r="J10" s="2" t="inlineStr">
        <is>
          <t>/assets/cards/STARGAZER-OF-THE-STAINED.jpg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No</t>
        </is>
      </c>
      <c r="N10" s="2">
        <f>IF(AND($K10="Yes",$L10="Yes",$M10="Yes"),"Yes","No")</f>
        <v/>
      </c>
      <c r="O10" s="2" t="inlineStr"/>
    </row>
    <row r="11">
      <c r="A11" s="2" t="inlineStr">
        <is>
          <t>CARD-0010</t>
        </is>
      </c>
      <c r="B11" s="2" t="inlineStr">
        <is>
          <t>STAINED SCIONESS SILIA</t>
        </is>
      </c>
      <c r="C11" s="2" t="inlineStr">
        <is>
          <t>TATA</t>
        </is>
      </c>
      <c r="D11" s="2" t="inlineStr">
        <is>
          <t>010</t>
        </is>
      </c>
      <c r="E11" s="2" t="inlineStr">
        <is>
          <t>Tainted Tails</t>
        </is>
      </c>
      <c r="F11" s="2" t="inlineStr">
        <is>
          <t>Monster</t>
        </is>
      </c>
      <c r="G11" s="2" t="inlineStr">
        <is>
          <t>Fairy / Effect</t>
        </is>
      </c>
      <c r="H11" s="2" t="inlineStr">
        <is>
          <t>Stain</t>
        </is>
      </c>
      <c r="I11" s="2" t="inlineStr">
        <is>
          <t>2025-01-17</t>
        </is>
      </c>
      <c r="J11" s="2" t="inlineStr">
        <is>
          <t>/assets/cards/STAINED-SCIONESS-SILIA.jpg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No</t>
        </is>
      </c>
      <c r="N11" s="2">
        <f>IF(AND($K11="Yes",$L11="Yes",$M11="Yes"),"Yes","No")</f>
        <v/>
      </c>
      <c r="O11" s="2" t="inlineStr"/>
    </row>
    <row r="12">
      <c r="A12" s="2" t="inlineStr">
        <is>
          <t>CARD-0011</t>
        </is>
      </c>
      <c r="B12" s="2" t="inlineStr">
        <is>
          <t>STAINED SOVEREIGN SILAS</t>
        </is>
      </c>
      <c r="C12" s="2" t="inlineStr">
        <is>
          <t>TATA</t>
        </is>
      </c>
      <c r="D12" s="2" t="inlineStr">
        <is>
          <t>011</t>
        </is>
      </c>
      <c r="E12" s="2" t="inlineStr">
        <is>
          <t>Tainted Tails</t>
        </is>
      </c>
      <c r="F12" s="2" t="inlineStr">
        <is>
          <t>Monster</t>
        </is>
      </c>
      <c r="G12" s="2" t="inlineStr">
        <is>
          <t>Spellcaster / Effect</t>
        </is>
      </c>
      <c r="H12" s="2" t="inlineStr">
        <is>
          <t>Stain</t>
        </is>
      </c>
      <c r="I12" s="2" t="inlineStr">
        <is>
          <t>2025-01-17</t>
        </is>
      </c>
      <c r="J12" s="2" t="inlineStr">
        <is>
          <t>/assets/cards/STAINED-SOVEREIGN-SILAS.jpg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No</t>
        </is>
      </c>
      <c r="N12" s="2">
        <f>IF(AND($K12="Yes",$L12="Yes",$M12="Yes"),"Yes","No")</f>
        <v/>
      </c>
      <c r="O12" s="2" t="inlineStr"/>
    </row>
    <row r="13">
      <c r="A13" s="2" t="inlineStr">
        <is>
          <t>CARD-0012</t>
        </is>
      </c>
      <c r="B13" s="2" t="inlineStr">
        <is>
          <t>STAINED SILHOUETTE</t>
        </is>
      </c>
      <c r="C13" s="2" t="inlineStr">
        <is>
          <t>TATA</t>
        </is>
      </c>
      <c r="D13" s="2" t="inlineStr">
        <is>
          <t>012</t>
        </is>
      </c>
      <c r="E13" s="2" t="inlineStr">
        <is>
          <t>Tainted Tails</t>
        </is>
      </c>
      <c r="F13" s="2" t="inlineStr">
        <is>
          <t>Monster</t>
        </is>
      </c>
      <c r="G13" s="2" t="inlineStr">
        <is>
          <t>Illusion / Effect</t>
        </is>
      </c>
      <c r="H13" s="2" t="inlineStr">
        <is>
          <t>Stain</t>
        </is>
      </c>
      <c r="I13" s="2" t="inlineStr">
        <is>
          <t>2025-01-17</t>
        </is>
      </c>
      <c r="J13" s="2" t="inlineStr">
        <is>
          <t>/assets/cards/STAINED-SILHOUETTE.jpg</t>
        </is>
      </c>
      <c r="K13" s="2" t="inlineStr">
        <is>
          <t>No</t>
        </is>
      </c>
      <c r="L13" s="2" t="inlineStr">
        <is>
          <t>No</t>
        </is>
      </c>
      <c r="M13" s="2" t="inlineStr">
        <is>
          <t>No</t>
        </is>
      </c>
      <c r="N13" s="2">
        <f>IF(AND($K13="Yes",$L13="Yes",$M13="Yes"),"Yes","No")</f>
        <v/>
      </c>
      <c r="O13" s="2" t="inlineStr"/>
    </row>
    <row r="14">
      <c r="A14" s="2" t="inlineStr">
        <is>
          <t>CARD-0013</t>
        </is>
      </c>
      <c r="B14" s="2" t="inlineStr">
        <is>
          <t>ABSTAIN FROM LIGHT</t>
        </is>
      </c>
      <c r="C14" s="2" t="inlineStr">
        <is>
          <t>TATA</t>
        </is>
      </c>
      <c r="D14" s="2" t="inlineStr">
        <is>
          <t>013</t>
        </is>
      </c>
      <c r="E14" s="2" t="inlineStr">
        <is>
          <t>Tainted Tails</t>
        </is>
      </c>
      <c r="F14" s="2" t="inlineStr">
        <is>
          <t>Spell</t>
        </is>
      </c>
      <c r="G14" s="2" t="inlineStr">
        <is>
          <t>Spell / Normal</t>
        </is>
      </c>
      <c r="H14" s="2" t="inlineStr">
        <is>
          <t>Stain</t>
        </is>
      </c>
      <c r="I14" s="2" t="inlineStr">
        <is>
          <t>2025-01-17</t>
        </is>
      </c>
      <c r="J14" s="2" t="inlineStr">
        <is>
          <t>/assets/cards/ABSTAIN-FROM-LIGHT.jpg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No</t>
        </is>
      </c>
      <c r="N14" s="2">
        <f>IF(AND($K14="Yes",$L14="Yes",$M14="Yes"),"Yes","No")</f>
        <v/>
      </c>
      <c r="O14" s="2" t="inlineStr"/>
    </row>
    <row r="15">
      <c r="A15" s="2" t="inlineStr">
        <is>
          <t>CARD-0014</t>
        </is>
      </c>
      <c r="B15" s="2" t="inlineStr">
        <is>
          <t>SHATTERING SUSTAINED</t>
        </is>
      </c>
      <c r="C15" s="2" t="inlineStr">
        <is>
          <t>TATA</t>
        </is>
      </c>
      <c r="D15" s="2" t="inlineStr">
        <is>
          <t>014</t>
        </is>
      </c>
      <c r="E15" s="2" t="inlineStr">
        <is>
          <t>Tainted Tails</t>
        </is>
      </c>
      <c r="F15" s="2" t="inlineStr">
        <is>
          <t>Spell</t>
        </is>
      </c>
      <c r="G15" s="2" t="inlineStr">
        <is>
          <t>Spell / Quick-Play</t>
        </is>
      </c>
      <c r="H15" s="2" t="inlineStr">
        <is>
          <t>Stain</t>
        </is>
      </c>
      <c r="I15" s="2" t="inlineStr">
        <is>
          <t>2025-01-17</t>
        </is>
      </c>
      <c r="J15" s="2" t="inlineStr">
        <is>
          <t>/assets/cards/SHATTERING-SUSTAINED.jpg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>
        <f>IF(AND($K15="Yes",$L15="Yes",$M15="Yes"),"Yes","No")</f>
        <v/>
      </c>
      <c r="O15" s="2" t="inlineStr"/>
    </row>
    <row r="16">
      <c r="A16" s="2" t="inlineStr">
        <is>
          <t>CARD-0015</t>
        </is>
      </c>
      <c r="B16" s="2" t="inlineStr">
        <is>
          <t>STAINED AVATAR</t>
        </is>
      </c>
      <c r="C16" s="2" t="inlineStr">
        <is>
          <t>TATA</t>
        </is>
      </c>
      <c r="D16" s="2" t="inlineStr">
        <is>
          <t>015</t>
        </is>
      </c>
      <c r="E16" s="2" t="inlineStr">
        <is>
          <t>Tainted Tails</t>
        </is>
      </c>
      <c r="F16" s="2" t="inlineStr">
        <is>
          <t>Monster</t>
        </is>
      </c>
      <c r="G16" s="2" t="inlineStr">
        <is>
          <t>Fairy / Effect / Fusion</t>
        </is>
      </c>
      <c r="H16" s="2" t="inlineStr">
        <is>
          <t>Stain</t>
        </is>
      </c>
      <c r="I16" s="2" t="inlineStr">
        <is>
          <t>2025-01-17</t>
        </is>
      </c>
      <c r="J16" s="2" t="inlineStr">
        <is>
          <t>/assets/cards/STAINED-AVATAR.jpg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  <c r="N16" s="2">
        <f>IF(AND($K16="Yes",$L16="Yes",$M16="Yes"),"Yes","No")</f>
        <v/>
      </c>
      <c r="O16" s="2" t="inlineStr"/>
    </row>
    <row r="17">
      <c r="A17" s="2" t="inlineStr">
        <is>
          <t>CARD-0016</t>
        </is>
      </c>
      <c r="B17" s="2" t="inlineStr">
        <is>
          <t>STAINED SORCERESS SILPHIA</t>
        </is>
      </c>
      <c r="C17" s="2" t="inlineStr">
        <is>
          <t>TATA</t>
        </is>
      </c>
      <c r="D17" s="2" t="inlineStr">
        <is>
          <t>016</t>
        </is>
      </c>
      <c r="E17" s="2" t="inlineStr">
        <is>
          <t>Tainted Tails</t>
        </is>
      </c>
      <c r="F17" s="2" t="inlineStr">
        <is>
          <t>Monster</t>
        </is>
      </c>
      <c r="G17" s="2" t="inlineStr">
        <is>
          <t>Fairy / Effect / Fusion</t>
        </is>
      </c>
      <c r="H17" s="2" t="inlineStr">
        <is>
          <t>Stain</t>
        </is>
      </c>
      <c r="I17" s="2" t="inlineStr">
        <is>
          <t>2025-01-17</t>
        </is>
      </c>
      <c r="J17" s="2" t="inlineStr">
        <is>
          <t>/assets/cards/STAINED-SORCERESS-SILPHIA.jpg</t>
        </is>
      </c>
      <c r="K17" s="2" t="inlineStr">
        <is>
          <t>No</t>
        </is>
      </c>
      <c r="L17" s="2" t="inlineStr">
        <is>
          <t>No</t>
        </is>
      </c>
      <c r="M17" s="2" t="inlineStr">
        <is>
          <t>No</t>
        </is>
      </c>
      <c r="N17" s="2">
        <f>IF(AND($K17="Yes",$L17="Yes",$M17="Yes"),"Yes","No")</f>
        <v/>
      </c>
      <c r="O17" s="2" t="inlineStr"/>
    </row>
    <row r="18">
      <c r="A18" s="2" t="inlineStr">
        <is>
          <t>CARD-0017</t>
        </is>
      </c>
      <c r="B18" s="2" t="inlineStr">
        <is>
          <t>DISTAINED DRUID DRAGAR</t>
        </is>
      </c>
      <c r="C18" s="2" t="inlineStr">
        <is>
          <t>TATA</t>
        </is>
      </c>
      <c r="D18" s="2" t="inlineStr">
        <is>
          <t>017</t>
        </is>
      </c>
      <c r="E18" s="2" t="inlineStr">
        <is>
          <t>Tainted Tails</t>
        </is>
      </c>
      <c r="F18" s="2" t="inlineStr">
        <is>
          <t>Monster</t>
        </is>
      </c>
      <c r="G18" s="2" t="inlineStr">
        <is>
          <t>Beast-Warrior / Effect / Fusion</t>
        </is>
      </c>
      <c r="H18" s="2" t="inlineStr">
        <is>
          <t>Stain</t>
        </is>
      </c>
      <c r="I18" s="2" t="inlineStr">
        <is>
          <t>2025-01-17</t>
        </is>
      </c>
      <c r="J18" s="2" t="inlineStr">
        <is>
          <t>/assets/cards/DISTAINED-DRUID-DRAGAR.jpg</t>
        </is>
      </c>
      <c r="K18" s="2" t="inlineStr">
        <is>
          <t>No</t>
        </is>
      </c>
      <c r="L18" s="2" t="inlineStr">
        <is>
          <t>No</t>
        </is>
      </c>
      <c r="M18" s="2" t="inlineStr">
        <is>
          <t>No</t>
        </is>
      </c>
      <c r="N18" s="2">
        <f>IF(AND($K18="Yes",$L18="Yes",$M18="Yes"),"Yes","No")</f>
        <v/>
      </c>
      <c r="O18" s="2" t="inlineStr"/>
    </row>
    <row r="19">
      <c r="A19" s="2" t="inlineStr">
        <is>
          <t>CARD-0018</t>
        </is>
      </c>
      <c r="B19" s="2" t="inlineStr">
        <is>
          <t>STAINLESS KALEIDRAGON</t>
        </is>
      </c>
      <c r="C19" s="2" t="inlineStr">
        <is>
          <t>TATA</t>
        </is>
      </c>
      <c r="D19" s="2" t="inlineStr">
        <is>
          <t>018</t>
        </is>
      </c>
      <c r="E19" s="2" t="inlineStr">
        <is>
          <t>Tainted Tails</t>
        </is>
      </c>
      <c r="F19" s="2" t="inlineStr">
        <is>
          <t>Monster</t>
        </is>
      </c>
      <c r="G19" s="2" t="inlineStr">
        <is>
          <t>Dragon / Effect / Fusion</t>
        </is>
      </c>
      <c r="H19" s="2" t="inlineStr">
        <is>
          <t>Stain</t>
        </is>
      </c>
      <c r="I19" s="2" t="inlineStr">
        <is>
          <t>2025-01-17</t>
        </is>
      </c>
      <c r="J19" s="2" t="inlineStr">
        <is>
          <t>/assets/cards/STAINLESS-KALEIDRAGON.jpg</t>
        </is>
      </c>
      <c r="K19" s="2" t="inlineStr">
        <is>
          <t>No</t>
        </is>
      </c>
      <c r="L19" s="2" t="inlineStr">
        <is>
          <t>No</t>
        </is>
      </c>
      <c r="M19" s="2" t="inlineStr">
        <is>
          <t>No</t>
        </is>
      </c>
      <c r="N19" s="2">
        <f>IF(AND($K19="Yes",$L19="Yes",$M19="Yes"),"Yes","No")</f>
        <v/>
      </c>
      <c r="O19" s="2" t="inlineStr"/>
    </row>
    <row r="20">
      <c r="A20" s="2" t="inlineStr">
        <is>
          <t>CARD-0019</t>
        </is>
      </c>
      <c r="B20" s="2" t="inlineStr">
        <is>
          <t>AETHERSTORM ZENITH WIRE-TAILED SYPHARION</t>
        </is>
      </c>
      <c r="C20" s="2" t="inlineStr">
        <is>
          <t>TATA</t>
        </is>
      </c>
      <c r="D20" s="2" t="inlineStr">
        <is>
          <t>020</t>
        </is>
      </c>
      <c r="E20" s="2" t="inlineStr">
        <is>
          <t>Tainted Tails</t>
        </is>
      </c>
      <c r="F20" s="2" t="inlineStr">
        <is>
          <t>Monster</t>
        </is>
      </c>
      <c r="G20" s="2" t="inlineStr">
        <is>
          <t>Dragon / Effect / Xyz</t>
        </is>
      </c>
      <c r="H20" s="2" t="inlineStr">
        <is>
          <t>Aetherstorm</t>
        </is>
      </c>
      <c r="I20" s="2" t="inlineStr">
        <is>
          <t>2025-01-17</t>
        </is>
      </c>
      <c r="J20" s="2" t="inlineStr">
        <is>
          <t>/assets/cards/AETHERSTORM-ZENITH-WIRE-TAILED-SYPHARION.jpg</t>
        </is>
      </c>
      <c r="K20" s="2" t="inlineStr">
        <is>
          <t>No</t>
        </is>
      </c>
      <c r="L20" s="2" t="inlineStr">
        <is>
          <t>No</t>
        </is>
      </c>
      <c r="M20" s="2" t="inlineStr">
        <is>
          <t>No</t>
        </is>
      </c>
      <c r="N20" s="2">
        <f>IF(AND($K20="Yes",$L20="Yes",$M20="Yes"),"Yes","No")</f>
        <v/>
      </c>
      <c r="O20" s="2" t="inlineStr"/>
    </row>
    <row r="21">
      <c r="A21" s="2" t="inlineStr">
        <is>
          <t>CARD-0020</t>
        </is>
      </c>
      <c r="B21" s="2" t="inlineStr">
        <is>
          <t>ARMORED NOVA MECHA-SCALED XYRION</t>
        </is>
      </c>
      <c r="C21" s="2" t="inlineStr">
        <is>
          <t>TATA</t>
        </is>
      </c>
      <c r="D21" s="2" t="inlineStr">
        <is>
          <t>019</t>
        </is>
      </c>
      <c r="E21" s="2" t="inlineStr">
        <is>
          <t>Tainted Tails</t>
        </is>
      </c>
      <c r="F21" s="2" t="inlineStr">
        <is>
          <t>Monster</t>
        </is>
      </c>
      <c r="G21" s="2" t="inlineStr">
        <is>
          <t>Dragon / Effect / Xyz</t>
        </is>
      </c>
      <c r="H21" s="2" t="inlineStr">
        <is>
          <t>Armored Nova</t>
        </is>
      </c>
      <c r="I21" s="2" t="inlineStr">
        <is>
          <t>2025-01-17</t>
        </is>
      </c>
      <c r="J21" s="2" t="inlineStr">
        <is>
          <t>/assets/cards/ARMORED-NOVA-MECHA-SCALED-XYRION.jpg</t>
        </is>
      </c>
      <c r="K21" s="2" t="inlineStr">
        <is>
          <t>No</t>
        </is>
      </c>
      <c r="L21" s="2" t="inlineStr">
        <is>
          <t>No</t>
        </is>
      </c>
      <c r="M21" s="2" t="inlineStr">
        <is>
          <t>No</t>
        </is>
      </c>
      <c r="N21" s="2">
        <f>IF(AND($K21="Yes",$L21="Yes",$M21="Yes"),"Yes","No")</f>
        <v/>
      </c>
      <c r="O21" s="2" t="inlineStr"/>
    </row>
    <row r="22">
      <c r="A22" s="2" t="inlineStr">
        <is>
          <t>CARD-0021</t>
        </is>
      </c>
      <c r="B22" s="2" t="inlineStr">
        <is>
          <t>SOLEMN REBIRTH</t>
        </is>
      </c>
      <c r="C22" s="2" t="inlineStr">
        <is>
          <t>TATA</t>
        </is>
      </c>
      <c r="D22" s="2" t="inlineStr">
        <is>
          <t>021</t>
        </is>
      </c>
      <c r="E22" s="2" t="inlineStr">
        <is>
          <t>Tainted Tails</t>
        </is>
      </c>
      <c r="F22" s="2" t="inlineStr">
        <is>
          <t>Trap</t>
        </is>
      </c>
      <c r="G22" s="2" t="inlineStr">
        <is>
          <t>Trap / Continuous</t>
        </is>
      </c>
      <c r="H22" s="2" t="inlineStr">
        <is>
          <t>Solemn</t>
        </is>
      </c>
      <c r="I22" s="2" t="inlineStr">
        <is>
          <t>2025-01-17</t>
        </is>
      </c>
      <c r="J22" s="2" t="inlineStr">
        <is>
          <t>/assets/cards/SOLEMN-REBIRTH.jpg</t>
        </is>
      </c>
      <c r="K22" s="2" t="inlineStr">
        <is>
          <t>No</t>
        </is>
      </c>
      <c r="L22" s="2" t="inlineStr">
        <is>
          <t>No</t>
        </is>
      </c>
      <c r="M22" s="2" t="inlineStr">
        <is>
          <t>No</t>
        </is>
      </c>
      <c r="N22" s="2">
        <f>IF(AND($K22="Yes",$L22="Yes",$M22="Yes"),"Yes","No")</f>
        <v/>
      </c>
      <c r="O22" s="2" t="inlineStr"/>
    </row>
    <row r="23">
      <c r="A23" s="2" t="inlineStr">
        <is>
          <t>CARD-0022</t>
        </is>
      </c>
      <c r="B23" s="2" t="inlineStr">
        <is>
          <t>TALISMANDRAKE SPARK</t>
        </is>
      </c>
      <c r="C23" s="2" t="inlineStr">
        <is>
          <t>TATA</t>
        </is>
      </c>
      <c r="D23" s="2" t="inlineStr">
        <is>
          <t>022</t>
        </is>
      </c>
      <c r="E23" s="2" t="inlineStr">
        <is>
          <t>Tainted Tails</t>
        </is>
      </c>
      <c r="F23" s="2" t="inlineStr">
        <is>
          <t>Monster</t>
        </is>
      </c>
      <c r="G23" s="2" t="inlineStr">
        <is>
          <t>Pyro / Effect / Pendulum</t>
        </is>
      </c>
      <c r="H23" s="2" t="inlineStr">
        <is>
          <t>Talismandrake</t>
        </is>
      </c>
      <c r="I23" s="2" t="inlineStr">
        <is>
          <t>2025-01-17</t>
        </is>
      </c>
      <c r="J23" s="2" t="inlineStr">
        <is>
          <t>/assets/cards/TALISMANDRAKE-SPARK.jpg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No</t>
        </is>
      </c>
      <c r="N23" s="2">
        <f>IF(AND($K23="Yes",$L23="Yes",$M23="Yes"),"Yes","No")</f>
        <v/>
      </c>
      <c r="O23" s="2" t="inlineStr"/>
    </row>
    <row r="24">
      <c r="A24" s="2" t="inlineStr">
        <is>
          <t>CARD-0023</t>
        </is>
      </c>
      <c r="B24" s="2" t="inlineStr">
        <is>
          <t>TALISMANDRAKE EMBERS</t>
        </is>
      </c>
      <c r="C24" s="2" t="inlineStr">
        <is>
          <t>TATA</t>
        </is>
      </c>
      <c r="D24" s="2" t="inlineStr">
        <is>
          <t>024</t>
        </is>
      </c>
      <c r="E24" s="2" t="inlineStr">
        <is>
          <t>Tainted Tails</t>
        </is>
      </c>
      <c r="F24" s="2" t="inlineStr">
        <is>
          <t>Monster</t>
        </is>
      </c>
      <c r="G24" s="2" t="inlineStr">
        <is>
          <t>Pyro / Effect / Pendulum</t>
        </is>
      </c>
      <c r="H24" s="2" t="inlineStr">
        <is>
          <t>Talismandrake</t>
        </is>
      </c>
      <c r="I24" s="2" t="inlineStr">
        <is>
          <t>2025-01-17</t>
        </is>
      </c>
      <c r="J24" s="2" t="inlineStr">
        <is>
          <t>/assets/cards/TALISMANDRAKE-EMBERS.jpg</t>
        </is>
      </c>
      <c r="K24" s="2" t="inlineStr">
        <is>
          <t>No</t>
        </is>
      </c>
      <c r="L24" s="2" t="inlineStr">
        <is>
          <t>No</t>
        </is>
      </c>
      <c r="M24" s="2" t="inlineStr">
        <is>
          <t>No</t>
        </is>
      </c>
      <c r="N24" s="2">
        <f>IF(AND($K24="Yes",$L24="Yes",$M24="Yes"),"Yes","No")</f>
        <v/>
      </c>
      <c r="O24" s="2" t="inlineStr"/>
    </row>
    <row r="25">
      <c r="A25" s="2" t="inlineStr">
        <is>
          <t>CARD-0024</t>
        </is>
      </c>
      <c r="B25" s="2" t="inlineStr">
        <is>
          <t>TALISMANDRAKE HEAT</t>
        </is>
      </c>
      <c r="C25" s="2" t="inlineStr">
        <is>
          <t>TATA</t>
        </is>
      </c>
      <c r="D25" s="2" t="inlineStr">
        <is>
          <t>023</t>
        </is>
      </c>
      <c r="E25" s="2" t="inlineStr">
        <is>
          <t>Tainted Tails</t>
        </is>
      </c>
      <c r="F25" s="2" t="inlineStr">
        <is>
          <t>Monster</t>
        </is>
      </c>
      <c r="G25" s="2" t="inlineStr">
        <is>
          <t>Pyro / Effect / Pendulum</t>
        </is>
      </c>
      <c r="H25" s="2" t="inlineStr">
        <is>
          <t>Talismandrake</t>
        </is>
      </c>
      <c r="I25" s="2" t="inlineStr">
        <is>
          <t>2025-01-17</t>
        </is>
      </c>
      <c r="J25" s="2" t="inlineStr">
        <is>
          <t>/assets/cards/TALISMANDRAKE-HEAT.jpg</t>
        </is>
      </c>
      <c r="K25" s="2" t="inlineStr">
        <is>
          <t>No</t>
        </is>
      </c>
      <c r="L25" s="2" t="inlineStr">
        <is>
          <t>No</t>
        </is>
      </c>
      <c r="M25" s="2" t="inlineStr">
        <is>
          <t>No</t>
        </is>
      </c>
      <c r="N25" s="2">
        <f>IF(AND($K25="Yes",$L25="Yes",$M25="Yes"),"Yes","No")</f>
        <v/>
      </c>
      <c r="O25" s="2" t="inlineStr"/>
    </row>
    <row r="26">
      <c r="A26" s="2" t="inlineStr">
        <is>
          <t>CARD-0025</t>
        </is>
      </c>
      <c r="B26" s="2" t="inlineStr">
        <is>
          <t>TALISMANDRAKE SEAR</t>
        </is>
      </c>
      <c r="C26" s="2" t="inlineStr">
        <is>
          <t>TATA</t>
        </is>
      </c>
      <c r="D26" s="2" t="inlineStr">
        <is>
          <t>025</t>
        </is>
      </c>
      <c r="E26" s="2" t="inlineStr">
        <is>
          <t>Tainted Tails</t>
        </is>
      </c>
      <c r="F26" s="2" t="inlineStr">
        <is>
          <t>Monster</t>
        </is>
      </c>
      <c r="G26" s="2" t="inlineStr">
        <is>
          <t>Pyro / Effect / Pendulum</t>
        </is>
      </c>
      <c r="H26" s="2" t="inlineStr">
        <is>
          <t>Talismandrake</t>
        </is>
      </c>
      <c r="I26" s="2" t="inlineStr">
        <is>
          <t>2025-01-17</t>
        </is>
      </c>
      <c r="J26" s="2" t="inlineStr">
        <is>
          <t>/assets/cards/TALISMANDRAKE-SEAR.jpg</t>
        </is>
      </c>
      <c r="K26" s="2" t="inlineStr">
        <is>
          <t>No</t>
        </is>
      </c>
      <c r="L26" s="2" t="inlineStr">
        <is>
          <t>No</t>
        </is>
      </c>
      <c r="M26" s="2" t="inlineStr">
        <is>
          <t>No</t>
        </is>
      </c>
      <c r="N26" s="2">
        <f>IF(AND($K26="Yes",$L26="Yes",$M26="Yes"),"Yes","No")</f>
        <v/>
      </c>
      <c r="O26" s="2" t="inlineStr"/>
    </row>
    <row r="27">
      <c r="A27" s="2" t="inlineStr">
        <is>
          <t>CARD-0026</t>
        </is>
      </c>
      <c r="B27" s="2" t="inlineStr">
        <is>
          <t>TALISMANDRAKE ARMS UNITED</t>
        </is>
      </c>
      <c r="C27" s="2" t="inlineStr">
        <is>
          <t>TATA</t>
        </is>
      </c>
      <c r="D27" s="2" t="inlineStr">
        <is>
          <t>026</t>
        </is>
      </c>
      <c r="E27" s="2" t="inlineStr">
        <is>
          <t>Tainted Tails</t>
        </is>
      </c>
      <c r="F27" s="2" t="inlineStr">
        <is>
          <t>Spell</t>
        </is>
      </c>
      <c r="G27" s="2" t="inlineStr">
        <is>
          <t>Spell / Normal</t>
        </is>
      </c>
      <c r="H27" s="2" t="inlineStr">
        <is>
          <t>Talismandrake</t>
        </is>
      </c>
      <c r="I27" s="2" t="inlineStr">
        <is>
          <t>2025-01-17</t>
        </is>
      </c>
      <c r="J27" s="2" t="inlineStr">
        <is>
          <t>/assets/cards/TALISMANDRAKE-ARMS-UNITED.jpg</t>
        </is>
      </c>
      <c r="K27" s="2" t="inlineStr">
        <is>
          <t>No</t>
        </is>
      </c>
      <c r="L27" s="2" t="inlineStr">
        <is>
          <t>No</t>
        </is>
      </c>
      <c r="M27" s="2" t="inlineStr">
        <is>
          <t>No</t>
        </is>
      </c>
      <c r="N27" s="2">
        <f>IF(AND($K27="Yes",$L27="Yes",$M27="Yes"),"Yes","No")</f>
        <v/>
      </c>
      <c r="O27" s="2" t="inlineStr"/>
    </row>
    <row r="28">
      <c r="A28" s="2" t="inlineStr">
        <is>
          <t>CARD-0027</t>
        </is>
      </c>
      <c r="B28" s="2" t="inlineStr">
        <is>
          <t>LEFT TALISMANDRAKE ARMS - BLAZE SUPPRESSOR</t>
        </is>
      </c>
      <c r="C28" s="2" t="inlineStr">
        <is>
          <t>TATA</t>
        </is>
      </c>
      <c r="D28" s="2" t="inlineStr">
        <is>
          <t>027</t>
        </is>
      </c>
      <c r="E28" s="2" t="inlineStr">
        <is>
          <t>Tainted Tails</t>
        </is>
      </c>
      <c r="F28" s="2" t="inlineStr">
        <is>
          <t>Spell</t>
        </is>
      </c>
      <c r="G28" s="2" t="inlineStr">
        <is>
          <t>Spell / Quick-Play</t>
        </is>
      </c>
      <c r="H28" s="2" t="inlineStr">
        <is>
          <t>Talismandrake</t>
        </is>
      </c>
      <c r="I28" s="2" t="inlineStr">
        <is>
          <t>2025-01-17</t>
        </is>
      </c>
      <c r="J28" s="2" t="inlineStr">
        <is>
          <t>/assets/cards/LEFT-TALISMANDRAKE-ARMS---BLAZE-SUPPRESSOR.jpg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No</t>
        </is>
      </c>
      <c r="N28" s="2">
        <f>IF(AND($K28="Yes",$L28="Yes",$M28="Yes"),"Yes","No")</f>
        <v/>
      </c>
      <c r="O28" s="2" t="inlineStr"/>
    </row>
    <row r="29">
      <c r="A29" s="2" t="inlineStr">
        <is>
          <t>CARD-0028</t>
        </is>
      </c>
      <c r="B29" s="2" t="inlineStr">
        <is>
          <t>RIGHT TALISMANDRAKE ARMS - BLAZE HALBERD</t>
        </is>
      </c>
      <c r="C29" s="2" t="inlineStr">
        <is>
          <t>TATA</t>
        </is>
      </c>
      <c r="D29" s="2" t="inlineStr">
        <is>
          <t>028</t>
        </is>
      </c>
      <c r="E29" s="2" t="inlineStr">
        <is>
          <t>Tainted Tails</t>
        </is>
      </c>
      <c r="F29" s="2" t="inlineStr">
        <is>
          <t>Spell</t>
        </is>
      </c>
      <c r="G29" s="2" t="inlineStr">
        <is>
          <t>Spell / Quick-Play</t>
        </is>
      </c>
      <c r="H29" s="2" t="inlineStr">
        <is>
          <t>Talismandrake</t>
        </is>
      </c>
      <c r="I29" s="2" t="inlineStr">
        <is>
          <t>2025-01-17</t>
        </is>
      </c>
      <c r="J29" s="2" t="inlineStr">
        <is>
          <t>/assets/cards/RIGHT-TALISMANDRAKE-ARMS---BLAZE-HALBERD.jpg</t>
        </is>
      </c>
      <c r="K29" s="2" t="inlineStr">
        <is>
          <t>No</t>
        </is>
      </c>
      <c r="L29" s="2" t="inlineStr">
        <is>
          <t>No</t>
        </is>
      </c>
      <c r="M29" s="2" t="inlineStr">
        <is>
          <t>No</t>
        </is>
      </c>
      <c r="N29" s="2">
        <f>IF(AND($K29="Yes",$L29="Yes",$M29="Yes"),"Yes","No")</f>
        <v/>
      </c>
      <c r="O29" s="2" t="inlineStr"/>
    </row>
    <row r="30">
      <c r="A30" s="2" t="inlineStr">
        <is>
          <t>CARD-0029</t>
        </is>
      </c>
      <c r="B30" s="2" t="inlineStr">
        <is>
          <t>RIGHT TALISMANDRAKE ARMS - BLAZE SABRE</t>
        </is>
      </c>
      <c r="C30" s="2" t="inlineStr">
        <is>
          <t>TATA</t>
        </is>
      </c>
      <c r="D30" s="2" t="inlineStr">
        <is>
          <t>029</t>
        </is>
      </c>
      <c r="E30" s="2" t="inlineStr">
        <is>
          <t>Tainted Tails</t>
        </is>
      </c>
      <c r="F30" s="2" t="inlineStr">
        <is>
          <t>Spell</t>
        </is>
      </c>
      <c r="G30" s="2" t="inlineStr">
        <is>
          <t>Spell / Quick-Play</t>
        </is>
      </c>
      <c r="H30" s="2" t="inlineStr">
        <is>
          <t>Talismandrake</t>
        </is>
      </c>
      <c r="I30" s="2" t="inlineStr">
        <is>
          <t>2025-01-17</t>
        </is>
      </c>
      <c r="J30" s="2" t="inlineStr">
        <is>
          <t>/assets/cards/RIGHT-TALISMANDRAKE-ARMS---BLAZE-SABRE.jpg</t>
        </is>
      </c>
      <c r="K30" s="2" t="inlineStr">
        <is>
          <t>No</t>
        </is>
      </c>
      <c r="L30" s="2" t="inlineStr">
        <is>
          <t>No</t>
        </is>
      </c>
      <c r="M30" s="2" t="inlineStr">
        <is>
          <t>No</t>
        </is>
      </c>
      <c r="N30" s="2">
        <f>IF(AND($K30="Yes",$L30="Yes",$M30="Yes"),"Yes","No")</f>
        <v/>
      </c>
      <c r="O30" s="2" t="inlineStr"/>
    </row>
    <row r="31">
      <c r="A31" s="2" t="inlineStr">
        <is>
          <t>CARD-0030</t>
        </is>
      </c>
      <c r="B31" s="2" t="inlineStr">
        <is>
          <t>LEFT TALISMANDRAKE ARMS - BLAZE SHIELD</t>
        </is>
      </c>
      <c r="C31" s="2" t="inlineStr">
        <is>
          <t>TATA</t>
        </is>
      </c>
      <c r="D31" s="2" t="inlineStr">
        <is>
          <t>030</t>
        </is>
      </c>
      <c r="E31" s="2" t="inlineStr">
        <is>
          <t>Tainted Tails</t>
        </is>
      </c>
      <c r="F31" s="2" t="inlineStr">
        <is>
          <t>Trap</t>
        </is>
      </c>
      <c r="G31" s="2" t="inlineStr">
        <is>
          <t>Trap / Normal</t>
        </is>
      </c>
      <c r="H31" s="2" t="inlineStr">
        <is>
          <t>Talismandrake</t>
        </is>
      </c>
      <c r="I31" s="2" t="inlineStr">
        <is>
          <t>2025-01-17</t>
        </is>
      </c>
      <c r="J31" s="2" t="inlineStr">
        <is>
          <t>/assets/cards/LEFT-TALISMANDRAKE-ARMS---BLAZE-SHIELD.jpg</t>
        </is>
      </c>
      <c r="K31" s="2" t="inlineStr">
        <is>
          <t>No</t>
        </is>
      </c>
      <c r="L31" s="2" t="inlineStr">
        <is>
          <t>No</t>
        </is>
      </c>
      <c r="M31" s="2" t="inlineStr">
        <is>
          <t>No</t>
        </is>
      </c>
      <c r="N31" s="2">
        <f>IF(AND($K31="Yes",$L31="Yes",$M31="Yes"),"Yes","No")</f>
        <v/>
      </c>
      <c r="O31" s="2" t="inlineStr"/>
    </row>
    <row r="32">
      <c r="A32" s="2" t="inlineStr">
        <is>
          <t>CARD-0031</t>
        </is>
      </c>
      <c r="B32" s="2" t="inlineStr">
        <is>
          <t>TALISMANDRAKE PYRE</t>
        </is>
      </c>
      <c r="C32" s="2" t="inlineStr">
        <is>
          <t>TATA</t>
        </is>
      </c>
      <c r="D32" s="2" t="inlineStr">
        <is>
          <t>031</t>
        </is>
      </c>
      <c r="E32" s="2" t="inlineStr">
        <is>
          <t>Tainted Tails</t>
        </is>
      </c>
      <c r="F32" s="2" t="inlineStr">
        <is>
          <t>Monster</t>
        </is>
      </c>
      <c r="G32" s="2" t="inlineStr">
        <is>
          <t>Pyro / Fusion</t>
        </is>
      </c>
      <c r="H32" s="2" t="inlineStr">
        <is>
          <t>Talismandrake</t>
        </is>
      </c>
      <c r="I32" s="2" t="inlineStr">
        <is>
          <t>2025-01-17</t>
        </is>
      </c>
      <c r="J32" s="2" t="inlineStr">
        <is>
          <t>/assets/cards/TALISMANDRAKE-PYRE.jpg</t>
        </is>
      </c>
      <c r="K32" s="2" t="inlineStr">
        <is>
          <t>No</t>
        </is>
      </c>
      <c r="L32" s="2" t="inlineStr">
        <is>
          <t>No</t>
        </is>
      </c>
      <c r="M32" s="2" t="inlineStr">
        <is>
          <t>No</t>
        </is>
      </c>
      <c r="N32" s="2">
        <f>IF(AND($K32="Yes",$L32="Yes",$M32="Yes"),"Yes","No")</f>
        <v/>
      </c>
      <c r="O32" s="2" t="inlineStr"/>
    </row>
    <row r="33">
      <c r="A33" s="2" t="inlineStr">
        <is>
          <t>CARD-0032</t>
        </is>
      </c>
      <c r="B33" s="2" t="inlineStr">
        <is>
          <t>TALISMANDRAKE CREMATION</t>
        </is>
      </c>
      <c r="C33" s="2" t="inlineStr">
        <is>
          <t>TATA</t>
        </is>
      </c>
      <c r="D33" s="2" t="inlineStr">
        <is>
          <t>032</t>
        </is>
      </c>
      <c r="E33" s="2" t="inlineStr">
        <is>
          <t>Tainted Tails</t>
        </is>
      </c>
      <c r="F33" s="2" t="inlineStr">
        <is>
          <t>Monster</t>
        </is>
      </c>
      <c r="G33" s="2" t="inlineStr">
        <is>
          <t>Pyro / Effect / Fusion</t>
        </is>
      </c>
      <c r="H33" s="2" t="inlineStr">
        <is>
          <t>Talismandrake</t>
        </is>
      </c>
      <c r="I33" s="2" t="inlineStr">
        <is>
          <t>2025-01-17</t>
        </is>
      </c>
      <c r="J33" s="2" t="inlineStr">
        <is>
          <t>/assets/cards/TALISMANDRAKE-CREMATION.jpg</t>
        </is>
      </c>
      <c r="K33" s="2" t="inlineStr">
        <is>
          <t>No</t>
        </is>
      </c>
      <c r="L33" s="2" t="inlineStr">
        <is>
          <t>No</t>
        </is>
      </c>
      <c r="M33" s="2" t="inlineStr">
        <is>
          <t>No</t>
        </is>
      </c>
      <c r="N33" s="2">
        <f>IF(AND($K33="Yes",$L33="Yes",$M33="Yes"),"Yes","No")</f>
        <v/>
      </c>
      <c r="O33" s="2" t="inlineStr"/>
    </row>
    <row r="34">
      <c r="A34" s="2" t="inlineStr">
        <is>
          <t>CARD-0033</t>
        </is>
      </c>
      <c r="B34" s="2" t="inlineStr">
        <is>
          <t>TALISMANDRAKE ENKINDLE</t>
        </is>
      </c>
      <c r="C34" s="2" t="inlineStr">
        <is>
          <t>TATA</t>
        </is>
      </c>
      <c r="D34" s="2" t="inlineStr">
        <is>
          <t>033</t>
        </is>
      </c>
      <c r="E34" s="2" t="inlineStr">
        <is>
          <t>Tainted Tails</t>
        </is>
      </c>
      <c r="F34" s="2" t="inlineStr">
        <is>
          <t>Monster</t>
        </is>
      </c>
      <c r="G34" s="2" t="inlineStr">
        <is>
          <t>Pyro / Effect / Fusion</t>
        </is>
      </c>
      <c r="H34" s="2" t="inlineStr">
        <is>
          <t>Talismandrake</t>
        </is>
      </c>
      <c r="I34" s="2" t="inlineStr">
        <is>
          <t>2025-01-17</t>
        </is>
      </c>
      <c r="J34" s="2" t="inlineStr">
        <is>
          <t>/assets/cards/TALISMANDRAKE-ENKINDLE.jpg</t>
        </is>
      </c>
      <c r="K34" s="2" t="inlineStr">
        <is>
          <t>No</t>
        </is>
      </c>
      <c r="L34" s="2" t="inlineStr">
        <is>
          <t>No</t>
        </is>
      </c>
      <c r="M34" s="2" t="inlineStr">
        <is>
          <t>No</t>
        </is>
      </c>
      <c r="N34" s="2">
        <f>IF(AND($K34="Yes",$L34="Yes",$M34="Yes"),"Yes","No")</f>
        <v/>
      </c>
      <c r="O34" s="2" t="inlineStr"/>
    </row>
    <row r="35">
      <c r="A35" s="2" t="inlineStr">
        <is>
          <t>CARD-0034</t>
        </is>
      </c>
      <c r="B35" s="2" t="inlineStr">
        <is>
          <t>MAIDEN OF TALISMANDRAKES SERAPHINA</t>
        </is>
      </c>
      <c r="C35" s="2" t="inlineStr">
        <is>
          <t>TATA</t>
        </is>
      </c>
      <c r="D35" s="2" t="inlineStr">
        <is>
          <t>034</t>
        </is>
      </c>
      <c r="E35" s="2" t="inlineStr">
        <is>
          <t>Tainted Tails</t>
        </is>
      </c>
      <c r="F35" s="2" t="inlineStr">
        <is>
          <t>Monster</t>
        </is>
      </c>
      <c r="G35" s="2" t="inlineStr">
        <is>
          <t>Pyro / Effect / Fusion / Pendulum</t>
        </is>
      </c>
      <c r="H35" s="2" t="inlineStr">
        <is>
          <t>Talismandrake</t>
        </is>
      </c>
      <c r="I35" s="2" t="inlineStr">
        <is>
          <t>2025-01-17</t>
        </is>
      </c>
      <c r="J35" s="2" t="inlineStr">
        <is>
          <t>/assets/cards/MAIDEN-OF-TALISMANDRAKES-SERAPHINA.jpg</t>
        </is>
      </c>
      <c r="K35" s="2" t="inlineStr">
        <is>
          <t>No</t>
        </is>
      </c>
      <c r="L35" s="2" t="inlineStr">
        <is>
          <t>No</t>
        </is>
      </c>
      <c r="M35" s="2" t="inlineStr">
        <is>
          <t>No</t>
        </is>
      </c>
      <c r="N35" s="2">
        <f>IF(AND($K35="Yes",$L35="Yes",$M35="Yes"),"Yes","No")</f>
        <v/>
      </c>
      <c r="O35" s="2" t="inlineStr"/>
    </row>
    <row r="36">
      <c r="A36" s="2" t="inlineStr">
        <is>
          <t>CARD-0035</t>
        </is>
      </c>
      <c r="B36" s="2" t="inlineStr">
        <is>
          <t>BISHOP OF ALDREZ</t>
        </is>
      </c>
      <c r="C36" s="2" t="inlineStr">
        <is>
          <t>TATA</t>
        </is>
      </c>
      <c r="D36" s="2" t="inlineStr">
        <is>
          <t>035</t>
        </is>
      </c>
      <c r="E36" s="2" t="inlineStr">
        <is>
          <t>Tainted Tails</t>
        </is>
      </c>
      <c r="F36" s="2" t="inlineStr">
        <is>
          <t>Monster</t>
        </is>
      </c>
      <c r="G36" s="2" t="inlineStr">
        <is>
          <t>Spellcaster / Effect</t>
        </is>
      </c>
      <c r="H36" s="2" t="inlineStr">
        <is>
          <t>Aldrez</t>
        </is>
      </c>
      <c r="I36" s="2" t="inlineStr">
        <is>
          <t>2025-01-17</t>
        </is>
      </c>
      <c r="J36" s="2" t="inlineStr">
        <is>
          <t>/assets/cards/BISHOP-OF-ALDREZ.jpg</t>
        </is>
      </c>
      <c r="K36" s="2" t="inlineStr">
        <is>
          <t>No</t>
        </is>
      </c>
      <c r="L36" s="2" t="inlineStr">
        <is>
          <t>No</t>
        </is>
      </c>
      <c r="M36" s="2" t="inlineStr">
        <is>
          <t>No</t>
        </is>
      </c>
      <c r="N36" s="2">
        <f>IF(AND($K36="Yes",$L36="Yes",$M36="Yes"),"Yes","No")</f>
        <v/>
      </c>
      <c r="O36" s="2" t="inlineStr"/>
    </row>
    <row r="37">
      <c r="A37" s="2" t="inlineStr">
        <is>
          <t>CARD-0036</t>
        </is>
      </c>
      <c r="B37" s="2" t="inlineStr">
        <is>
          <t>PAWN OF ALDREZ</t>
        </is>
      </c>
      <c r="C37" s="2" t="inlineStr">
        <is>
          <t>TATA</t>
        </is>
      </c>
      <c r="D37" s="2" t="inlineStr">
        <is>
          <t>036</t>
        </is>
      </c>
      <c r="E37" s="2" t="inlineStr">
        <is>
          <t>Tainted Tails</t>
        </is>
      </c>
      <c r="F37" s="2" t="inlineStr">
        <is>
          <t>Monster</t>
        </is>
      </c>
      <c r="G37" s="2" t="inlineStr">
        <is>
          <t>Warrior / Effect</t>
        </is>
      </c>
      <c r="H37" s="2" t="inlineStr">
        <is>
          <t>Aldrez</t>
        </is>
      </c>
      <c r="I37" s="2" t="inlineStr">
        <is>
          <t>2025-01-17</t>
        </is>
      </c>
      <c r="J37" s="2" t="inlineStr">
        <is>
          <t>/assets/cards/PAWN-OF-ALDREZ.jpg</t>
        </is>
      </c>
      <c r="K37" s="2" t="inlineStr">
        <is>
          <t>No</t>
        </is>
      </c>
      <c r="L37" s="2" t="inlineStr">
        <is>
          <t>No</t>
        </is>
      </c>
      <c r="M37" s="2" t="inlineStr">
        <is>
          <t>No</t>
        </is>
      </c>
      <c r="N37" s="2">
        <f>IF(AND($K37="Yes",$L37="Yes",$M37="Yes"),"Yes","No")</f>
        <v/>
      </c>
      <c r="O37" s="2" t="inlineStr"/>
    </row>
    <row r="38">
      <c r="A38" s="2" t="inlineStr">
        <is>
          <t>CARD-0037</t>
        </is>
      </c>
      <c r="B38" s="2" t="inlineStr">
        <is>
          <t>QUEEN OF ALDREZ</t>
        </is>
      </c>
      <c r="C38" s="2" t="inlineStr">
        <is>
          <t>TATA</t>
        </is>
      </c>
      <c r="D38" s="2" t="inlineStr">
        <is>
          <t>037</t>
        </is>
      </c>
      <c r="E38" s="2" t="inlineStr">
        <is>
          <t>Tainted Tails</t>
        </is>
      </c>
      <c r="F38" s="2" t="inlineStr">
        <is>
          <t>Monster</t>
        </is>
      </c>
      <c r="G38" s="2" t="inlineStr">
        <is>
          <t>Spellcaster / Effect</t>
        </is>
      </c>
      <c r="H38" s="2" t="inlineStr">
        <is>
          <t>Aldrez</t>
        </is>
      </c>
      <c r="I38" s="2" t="inlineStr">
        <is>
          <t>2025-01-17</t>
        </is>
      </c>
      <c r="J38" s="2" t="inlineStr">
        <is>
          <t>/assets/cards/QUEEN-OF-ALDREZ.jpg</t>
        </is>
      </c>
      <c r="K38" s="2" t="inlineStr">
        <is>
          <t>No</t>
        </is>
      </c>
      <c r="L38" s="2" t="inlineStr">
        <is>
          <t>No</t>
        </is>
      </c>
      <c r="M38" s="2" t="inlineStr">
        <is>
          <t>No</t>
        </is>
      </c>
      <c r="N38" s="2">
        <f>IF(AND($K38="Yes",$L38="Yes",$M38="Yes"),"Yes","No")</f>
        <v/>
      </c>
      <c r="O38" s="2" t="inlineStr"/>
    </row>
    <row r="39">
      <c r="A39" s="2" t="inlineStr">
        <is>
          <t>CARD-0038</t>
        </is>
      </c>
      <c r="B39" s="2" t="inlineStr">
        <is>
          <t>ALDREZ BATTERY</t>
        </is>
      </c>
      <c r="C39" s="2" t="inlineStr">
        <is>
          <t>TATA</t>
        </is>
      </c>
      <c r="D39" s="2" t="inlineStr">
        <is>
          <t>038</t>
        </is>
      </c>
      <c r="E39" s="2" t="inlineStr">
        <is>
          <t>Tainted Tails</t>
        </is>
      </c>
      <c r="F39" s="2" t="inlineStr">
        <is>
          <t>Spell</t>
        </is>
      </c>
      <c r="G39" s="2" t="inlineStr">
        <is>
          <t>Spell / Normal</t>
        </is>
      </c>
      <c r="H39" s="2" t="inlineStr">
        <is>
          <t>Aldrez</t>
        </is>
      </c>
      <c r="I39" s="2" t="inlineStr">
        <is>
          <t>2025-01-17</t>
        </is>
      </c>
      <c r="J39" s="2" t="inlineStr">
        <is>
          <t>/assets/cards/ALDREZ-BATTERY.jpg</t>
        </is>
      </c>
      <c r="K39" s="2" t="inlineStr">
        <is>
          <t>No</t>
        </is>
      </c>
      <c r="L39" s="2" t="inlineStr">
        <is>
          <t>No</t>
        </is>
      </c>
      <c r="M39" s="2" t="inlineStr">
        <is>
          <t>No</t>
        </is>
      </c>
      <c r="N39" s="2">
        <f>IF(AND($K39="Yes",$L39="Yes",$M39="Yes"),"Yes","No")</f>
        <v/>
      </c>
      <c r="O39" s="2" t="inlineStr"/>
    </row>
    <row r="40">
      <c r="A40" s="2" t="inlineStr">
        <is>
          <t>CARD-0039</t>
        </is>
      </c>
      <c r="B40" s="2" t="inlineStr">
        <is>
          <t>ALDREZ BLITZ</t>
        </is>
      </c>
      <c r="C40" s="2" t="inlineStr">
        <is>
          <t>TATA</t>
        </is>
      </c>
      <c r="D40" s="2" t="inlineStr">
        <is>
          <t>039</t>
        </is>
      </c>
      <c r="E40" s="2" t="inlineStr">
        <is>
          <t>Tainted Tails</t>
        </is>
      </c>
      <c r="F40" s="2" t="inlineStr">
        <is>
          <t>Spell</t>
        </is>
      </c>
      <c r="G40" s="2" t="inlineStr">
        <is>
          <t>Spell / Quick-Play</t>
        </is>
      </c>
      <c r="H40" s="2" t="inlineStr">
        <is>
          <t>Aldrez</t>
        </is>
      </c>
      <c r="I40" s="2" t="inlineStr">
        <is>
          <t>2025-01-17</t>
        </is>
      </c>
      <c r="J40" s="2" t="inlineStr">
        <is>
          <t>/assets/cards/ALDREZ-BLITZ.jpg</t>
        </is>
      </c>
      <c r="K40" s="2" t="inlineStr">
        <is>
          <t>No</t>
        </is>
      </c>
      <c r="L40" s="2" t="inlineStr">
        <is>
          <t>No</t>
        </is>
      </c>
      <c r="M40" s="2" t="inlineStr">
        <is>
          <t>No</t>
        </is>
      </c>
      <c r="N40" s="2">
        <f>IF(AND($K40="Yes",$L40="Yes",$M40="Yes"),"Yes","No")</f>
        <v/>
      </c>
      <c r="O40" s="2" t="inlineStr"/>
    </row>
    <row r="41">
      <c r="A41" s="2" t="inlineStr">
        <is>
          <t>CARD-0040</t>
        </is>
      </c>
      <c r="B41" s="2" t="inlineStr">
        <is>
          <t>ALDREZ OPENING</t>
        </is>
      </c>
      <c r="C41" s="2" t="inlineStr">
        <is>
          <t>TATA</t>
        </is>
      </c>
      <c r="D41" s="2" t="inlineStr">
        <is>
          <t>040</t>
        </is>
      </c>
      <c r="E41" s="2" t="inlineStr">
        <is>
          <t>Tainted Tails</t>
        </is>
      </c>
      <c r="F41" s="2" t="inlineStr">
        <is>
          <t>Spell</t>
        </is>
      </c>
      <c r="G41" s="2" t="inlineStr">
        <is>
          <t>Spell / Continuous</t>
        </is>
      </c>
      <c r="H41" s="2" t="inlineStr">
        <is>
          <t>Aldrez</t>
        </is>
      </c>
      <c r="I41" s="2" t="inlineStr">
        <is>
          <t>2025-01-17</t>
        </is>
      </c>
      <c r="J41" s="2" t="inlineStr">
        <is>
          <t>/assets/cards/ALDREZ-OPENING.jpg</t>
        </is>
      </c>
      <c r="K41" s="2" t="inlineStr">
        <is>
          <t>No</t>
        </is>
      </c>
      <c r="L41" s="2" t="inlineStr">
        <is>
          <t>No</t>
        </is>
      </c>
      <c r="M41" s="2" t="inlineStr">
        <is>
          <t>No</t>
        </is>
      </c>
      <c r="N41" s="2">
        <f>IF(AND($K41="Yes",$L41="Yes",$M41="Yes"),"Yes","No")</f>
        <v/>
      </c>
      <c r="O41" s="2" t="inlineStr"/>
    </row>
    <row r="42">
      <c r="A42" s="2" t="inlineStr">
        <is>
          <t>CARD-0041</t>
        </is>
      </c>
      <c r="B42" s="2" t="inlineStr">
        <is>
          <t>CHECKED IN ALDREZ</t>
        </is>
      </c>
      <c r="C42" s="2" t="inlineStr">
        <is>
          <t>TATA</t>
        </is>
      </c>
      <c r="D42" s="2" t="inlineStr">
        <is>
          <t>041</t>
        </is>
      </c>
      <c r="E42" s="2" t="inlineStr">
        <is>
          <t>Tainted Tails</t>
        </is>
      </c>
      <c r="F42" s="2" t="inlineStr">
        <is>
          <t>Trap</t>
        </is>
      </c>
      <c r="G42" s="2" t="inlineStr">
        <is>
          <t>Trap / Normal</t>
        </is>
      </c>
      <c r="H42" s="2" t="inlineStr">
        <is>
          <t>Aldrez</t>
        </is>
      </c>
      <c r="I42" s="2" t="inlineStr">
        <is>
          <t>2025-01-17</t>
        </is>
      </c>
      <c r="J42" s="2" t="inlineStr">
        <is>
          <t>/assets/cards/CHECKED-IN-ALDREZ.jpg</t>
        </is>
      </c>
      <c r="K42" s="2" t="inlineStr">
        <is>
          <t>No</t>
        </is>
      </c>
      <c r="L42" s="2" t="inlineStr">
        <is>
          <t>No</t>
        </is>
      </c>
      <c r="M42" s="2" t="inlineStr">
        <is>
          <t>No</t>
        </is>
      </c>
      <c r="N42" s="2">
        <f>IF(AND($K42="Yes",$L42="Yes",$M42="Yes"),"Yes","No")</f>
        <v/>
      </c>
      <c r="O42" s="2" t="inlineStr"/>
    </row>
    <row r="43">
      <c r="A43" s="2" t="inlineStr">
        <is>
          <t>CARD-0042</t>
        </is>
      </c>
      <c r="B43" s="2" t="inlineStr">
        <is>
          <t>CHECKMATE IN ALDREZ</t>
        </is>
      </c>
      <c r="C43" s="2" t="inlineStr">
        <is>
          <t>TATA</t>
        </is>
      </c>
      <c r="D43" s="2" t="inlineStr">
        <is>
          <t>042</t>
        </is>
      </c>
      <c r="E43" s="2" t="inlineStr">
        <is>
          <t>Tainted Tails</t>
        </is>
      </c>
      <c r="F43" s="2" t="inlineStr">
        <is>
          <t>Trap</t>
        </is>
      </c>
      <c r="G43" s="2" t="inlineStr">
        <is>
          <t>Trap / Normal</t>
        </is>
      </c>
      <c r="H43" s="2" t="inlineStr">
        <is>
          <t>Aldrez</t>
        </is>
      </c>
      <c r="I43" s="2" t="inlineStr">
        <is>
          <t>2025-01-17</t>
        </is>
      </c>
      <c r="J43" s="2" t="inlineStr">
        <is>
          <t>/assets/cards/CHECKMATE-IN-ALDREZ.jpg</t>
        </is>
      </c>
      <c r="K43" s="2" t="inlineStr">
        <is>
          <t>No</t>
        </is>
      </c>
      <c r="L43" s="2" t="inlineStr">
        <is>
          <t>No</t>
        </is>
      </c>
      <c r="M43" s="2" t="inlineStr">
        <is>
          <t>No</t>
        </is>
      </c>
      <c r="N43" s="2">
        <f>IF(AND($K43="Yes",$L43="Yes",$M43="Yes"),"Yes","No")</f>
        <v/>
      </c>
      <c r="O43" s="2" t="inlineStr"/>
    </row>
    <row r="44">
      <c r="A44" s="2" t="inlineStr">
        <is>
          <t>CARD-0043</t>
        </is>
      </c>
      <c r="B44" s="2" t="inlineStr">
        <is>
          <t>KNIGHT OF ALDREZ</t>
        </is>
      </c>
      <c r="C44" s="2" t="inlineStr">
        <is>
          <t>TATA</t>
        </is>
      </c>
      <c r="D44" s="2" t="inlineStr">
        <is>
          <t>043</t>
        </is>
      </c>
      <c r="E44" s="2" t="inlineStr">
        <is>
          <t>Tainted Tails</t>
        </is>
      </c>
      <c r="F44" s="2" t="inlineStr">
        <is>
          <t>Monster</t>
        </is>
      </c>
      <c r="G44" s="2" t="inlineStr">
        <is>
          <t>Warrior / Effect / Link</t>
        </is>
      </c>
      <c r="H44" s="2" t="inlineStr">
        <is>
          <t>Aldrez</t>
        </is>
      </c>
      <c r="I44" s="2" t="inlineStr">
        <is>
          <t>2025-01-17</t>
        </is>
      </c>
      <c r="J44" s="2" t="inlineStr">
        <is>
          <t>/assets/cards/KNIGHT-OF-ALDREZ.jpg</t>
        </is>
      </c>
      <c r="K44" s="2" t="inlineStr">
        <is>
          <t>No</t>
        </is>
      </c>
      <c r="L44" s="2" t="inlineStr">
        <is>
          <t>No</t>
        </is>
      </c>
      <c r="M44" s="2" t="inlineStr">
        <is>
          <t>No</t>
        </is>
      </c>
      <c r="N44" s="2">
        <f>IF(AND($K44="Yes",$L44="Yes",$M44="Yes"),"Yes","No")</f>
        <v/>
      </c>
      <c r="O44" s="2" t="inlineStr"/>
    </row>
    <row r="45">
      <c r="A45" s="2" t="inlineStr">
        <is>
          <t>CARD-0044</t>
        </is>
      </c>
      <c r="B45" s="2" t="inlineStr">
        <is>
          <t>ROOK OF ALDREZ</t>
        </is>
      </c>
      <c r="C45" s="2" t="inlineStr">
        <is>
          <t>TATA</t>
        </is>
      </c>
      <c r="D45" s="2" t="inlineStr">
        <is>
          <t>044</t>
        </is>
      </c>
      <c r="E45" s="2" t="inlineStr">
        <is>
          <t>Tainted Tails</t>
        </is>
      </c>
      <c r="F45" s="2" t="inlineStr">
        <is>
          <t>Monster</t>
        </is>
      </c>
      <c r="G45" s="2" t="inlineStr">
        <is>
          <t>Rock / Effect / Link</t>
        </is>
      </c>
      <c r="H45" s="2" t="inlineStr">
        <is>
          <t>Aldrez</t>
        </is>
      </c>
      <c r="I45" s="2" t="inlineStr">
        <is>
          <t>2025-01-17</t>
        </is>
      </c>
      <c r="J45" s="2" t="inlineStr">
        <is>
          <t>/assets/cards/ROOK-OF-ALDREZ.jpg</t>
        </is>
      </c>
      <c r="K45" s="2" t="inlineStr">
        <is>
          <t>No</t>
        </is>
      </c>
      <c r="L45" s="2" t="inlineStr">
        <is>
          <t>No</t>
        </is>
      </c>
      <c r="M45" s="2" t="inlineStr">
        <is>
          <t>No</t>
        </is>
      </c>
      <c r="N45" s="2">
        <f>IF(AND($K45="Yes",$L45="Yes",$M45="Yes"),"Yes","No")</f>
        <v/>
      </c>
      <c r="O45" s="2" t="inlineStr"/>
    </row>
    <row r="46">
      <c r="A46" s="2" t="inlineStr">
        <is>
          <t>CARD-0045</t>
        </is>
      </c>
      <c r="B46" s="2" t="inlineStr">
        <is>
          <t>KING OF ALDREZ</t>
        </is>
      </c>
      <c r="C46" s="2" t="inlineStr">
        <is>
          <t>TATA</t>
        </is>
      </c>
      <c r="D46" s="2" t="inlineStr">
        <is>
          <t>045</t>
        </is>
      </c>
      <c r="E46" s="2" t="inlineStr">
        <is>
          <t>Tainted Tails</t>
        </is>
      </c>
      <c r="F46" s="2" t="inlineStr">
        <is>
          <t>Monster</t>
        </is>
      </c>
      <c r="G46" s="2" t="inlineStr">
        <is>
          <t>Warrior / Effect / Xyz</t>
        </is>
      </c>
      <c r="H46" s="2" t="inlineStr">
        <is>
          <t>Aldrez</t>
        </is>
      </c>
      <c r="I46" s="2" t="inlineStr">
        <is>
          <t>2025-01-17</t>
        </is>
      </c>
      <c r="J46" s="2" t="inlineStr">
        <is>
          <t>/assets/cards/KING-OF-ALDREZ.jpg</t>
        </is>
      </c>
      <c r="K46" s="2" t="inlineStr">
        <is>
          <t>No</t>
        </is>
      </c>
      <c r="L46" s="2" t="inlineStr">
        <is>
          <t>No</t>
        </is>
      </c>
      <c r="M46" s="2" t="inlineStr">
        <is>
          <t>No</t>
        </is>
      </c>
      <c r="N46" s="2">
        <f>IF(AND($K46="Yes",$L46="Yes",$M46="Yes"),"Yes","No")</f>
        <v/>
      </c>
      <c r="O46" s="2" t="inlineStr"/>
    </row>
    <row r="47">
      <c r="A47" s="2" t="inlineStr">
        <is>
          <t>CARD-0046</t>
        </is>
      </c>
      <c r="B47" s="2" t="inlineStr">
        <is>
          <t>THE BLUE FRUTE</t>
        </is>
      </c>
      <c r="C47" s="2" t="inlineStr">
        <is>
          <t>TATA</t>
        </is>
      </c>
      <c r="D47" s="2" t="inlineStr">
        <is>
          <t>046</t>
        </is>
      </c>
      <c r="E47" s="2" t="inlineStr">
        <is>
          <t>Tainted Tails</t>
        </is>
      </c>
      <c r="F47" s="2" t="inlineStr">
        <is>
          <t>Monster</t>
        </is>
      </c>
      <c r="G47" s="2" t="inlineStr">
        <is>
          <t>Spellcaster / Effect</t>
        </is>
      </c>
      <c r="H47" s="2" t="inlineStr">
        <is>
          <t>Frute</t>
        </is>
      </c>
      <c r="I47" s="2" t="inlineStr">
        <is>
          <t>2025-01-17</t>
        </is>
      </c>
      <c r="J47" s="2" t="inlineStr">
        <is>
          <t>/assets/cards/THE-BLUE-FRUTE.jpg</t>
        </is>
      </c>
      <c r="K47" s="2" t="inlineStr">
        <is>
          <t>No</t>
        </is>
      </c>
      <c r="L47" s="2" t="inlineStr">
        <is>
          <t>No</t>
        </is>
      </c>
      <c r="M47" s="2" t="inlineStr">
        <is>
          <t>No</t>
        </is>
      </c>
      <c r="N47" s="2">
        <f>IF(AND($K47="Yes",$L47="Yes",$M47="Yes"),"Yes","No")</f>
        <v/>
      </c>
      <c r="O47" s="2" t="inlineStr"/>
    </row>
    <row r="48">
      <c r="A48" s="2" t="inlineStr">
        <is>
          <t>CARD-0047</t>
        </is>
      </c>
      <c r="B48" s="2" t="inlineStr">
        <is>
          <t>THE YELLOW FRUTE</t>
        </is>
      </c>
      <c r="C48" s="2" t="inlineStr">
        <is>
          <t>TATA</t>
        </is>
      </c>
      <c r="D48" s="2" t="inlineStr">
        <is>
          <t>047</t>
        </is>
      </c>
      <c r="E48" s="2" t="inlineStr">
        <is>
          <t>Tainted Tails</t>
        </is>
      </c>
      <c r="F48" s="2" t="inlineStr">
        <is>
          <t>Monster</t>
        </is>
      </c>
      <c r="G48" s="2" t="inlineStr">
        <is>
          <t>Spellcaster / Effect</t>
        </is>
      </c>
      <c r="H48" s="2" t="inlineStr">
        <is>
          <t>Frute</t>
        </is>
      </c>
      <c r="I48" s="2" t="inlineStr">
        <is>
          <t>2025-01-17</t>
        </is>
      </c>
      <c r="J48" s="2" t="inlineStr">
        <is>
          <t>/assets/cards/THE-YELLOW-FRUTE.jpg</t>
        </is>
      </c>
      <c r="K48" s="2" t="inlineStr">
        <is>
          <t>No</t>
        </is>
      </c>
      <c r="L48" s="2" t="inlineStr">
        <is>
          <t>No</t>
        </is>
      </c>
      <c r="M48" s="2" t="inlineStr">
        <is>
          <t>No</t>
        </is>
      </c>
      <c r="N48" s="2">
        <f>IF(AND($K48="Yes",$L48="Yes",$M48="Yes"),"Yes","No")</f>
        <v/>
      </c>
      <c r="O48" s="2" t="inlineStr"/>
    </row>
    <row r="49">
      <c r="A49" s="2" t="inlineStr">
        <is>
          <t>CARD-0048</t>
        </is>
      </c>
      <c r="B49" s="2" t="inlineStr">
        <is>
          <t>THE RED FRUTE</t>
        </is>
      </c>
      <c r="C49" s="2" t="inlineStr">
        <is>
          <t>TATA</t>
        </is>
      </c>
      <c r="D49" s="2" t="inlineStr">
        <is>
          <t>048</t>
        </is>
      </c>
      <c r="E49" s="2" t="inlineStr">
        <is>
          <t>Tainted Tails</t>
        </is>
      </c>
      <c r="F49" s="2" t="inlineStr">
        <is>
          <t>Monster</t>
        </is>
      </c>
      <c r="G49" s="2" t="inlineStr">
        <is>
          <t>Spellcaster / Effect</t>
        </is>
      </c>
      <c r="H49" s="2" t="inlineStr">
        <is>
          <t>Frute</t>
        </is>
      </c>
      <c r="I49" s="2" t="inlineStr">
        <is>
          <t>2025-01-17</t>
        </is>
      </c>
      <c r="J49" s="2" t="inlineStr">
        <is>
          <t>/assets/cards/THE-RED-FRUTE.jpg</t>
        </is>
      </c>
      <c r="K49" s="2" t="inlineStr">
        <is>
          <t>No</t>
        </is>
      </c>
      <c r="L49" s="2" t="inlineStr">
        <is>
          <t>No</t>
        </is>
      </c>
      <c r="M49" s="2" t="inlineStr">
        <is>
          <t>No</t>
        </is>
      </c>
      <c r="N49" s="2">
        <f>IF(AND($K49="Yes",$L49="Yes",$M49="Yes"),"Yes","No")</f>
        <v/>
      </c>
      <c r="O49" s="2" t="inlineStr"/>
    </row>
    <row r="50">
      <c r="A50" s="2" t="inlineStr">
        <is>
          <t>CARD-0049</t>
        </is>
      </c>
      <c r="B50" s="2" t="inlineStr">
        <is>
          <t>THE GREEN FRUTE</t>
        </is>
      </c>
      <c r="C50" s="2" t="inlineStr">
        <is>
          <t>TATA</t>
        </is>
      </c>
      <c r="D50" s="2" t="inlineStr">
        <is>
          <t>049</t>
        </is>
      </c>
      <c r="E50" s="2" t="inlineStr">
        <is>
          <t>Tainted Tails</t>
        </is>
      </c>
      <c r="F50" s="2" t="inlineStr">
        <is>
          <t>Monster</t>
        </is>
      </c>
      <c r="G50" s="2" t="inlineStr">
        <is>
          <t>Spellcaster / Effect</t>
        </is>
      </c>
      <c r="H50" s="2" t="inlineStr">
        <is>
          <t>Frute</t>
        </is>
      </c>
      <c r="I50" s="2" t="inlineStr">
        <is>
          <t>2025-01-17</t>
        </is>
      </c>
      <c r="J50" s="2" t="inlineStr">
        <is>
          <t>/assets/cards/THE-GREEN-FRUTE.jpg</t>
        </is>
      </c>
      <c r="K50" s="2" t="inlineStr">
        <is>
          <t>No</t>
        </is>
      </c>
      <c r="L50" s="2" t="inlineStr">
        <is>
          <t>No</t>
        </is>
      </c>
      <c r="M50" s="2" t="inlineStr">
        <is>
          <t>No</t>
        </is>
      </c>
      <c r="N50" s="2">
        <f>IF(AND($K50="Yes",$L50="Yes",$M50="Yes"),"Yes","No")</f>
        <v/>
      </c>
      <c r="O50" s="2" t="inlineStr"/>
    </row>
    <row r="51">
      <c r="A51" s="2" t="inlineStr">
        <is>
          <t>CARD-0050</t>
        </is>
      </c>
      <c r="B51" s="2" t="inlineStr">
        <is>
          <t>THE WHITE FRUTE</t>
        </is>
      </c>
      <c r="C51" s="2" t="inlineStr">
        <is>
          <t>TATA</t>
        </is>
      </c>
      <c r="D51" s="2" t="inlineStr">
        <is>
          <t>050</t>
        </is>
      </c>
      <c r="E51" s="2" t="inlineStr">
        <is>
          <t>Tainted Tails</t>
        </is>
      </c>
      <c r="F51" s="2" t="inlineStr">
        <is>
          <t>Monster</t>
        </is>
      </c>
      <c r="G51" s="2" t="inlineStr">
        <is>
          <t>Spellcaster / Effect</t>
        </is>
      </c>
      <c r="H51" s="2" t="inlineStr">
        <is>
          <t>Frute</t>
        </is>
      </c>
      <c r="I51" s="2" t="inlineStr">
        <is>
          <t>2025-01-17</t>
        </is>
      </c>
      <c r="J51" s="2" t="inlineStr">
        <is>
          <t>/assets/cards/THE-WHITE-FRUTE.jpg</t>
        </is>
      </c>
      <c r="K51" s="2" t="inlineStr">
        <is>
          <t>No</t>
        </is>
      </c>
      <c r="L51" s="2" t="inlineStr">
        <is>
          <t>No</t>
        </is>
      </c>
      <c r="M51" s="2" t="inlineStr">
        <is>
          <t>No</t>
        </is>
      </c>
      <c r="N51" s="2">
        <f>IF(AND($K51="Yes",$L51="Yes",$M51="Yes"),"Yes","No")</f>
        <v/>
      </c>
      <c r="O51" s="2" t="inlineStr"/>
    </row>
    <row r="52">
      <c r="A52" s="2" t="inlineStr">
        <is>
          <t>CARD-0051</t>
        </is>
      </c>
      <c r="B52" s="2" t="inlineStr">
        <is>
          <t>FRUTEONIA</t>
        </is>
      </c>
      <c r="C52" s="2" t="inlineStr">
        <is>
          <t>TATA</t>
        </is>
      </c>
      <c r="D52" s="2" t="inlineStr">
        <is>
          <t>051</t>
        </is>
      </c>
      <c r="E52" s="2" t="inlineStr">
        <is>
          <t>Tainted Tails</t>
        </is>
      </c>
      <c r="F52" s="2" t="inlineStr">
        <is>
          <t>Spell</t>
        </is>
      </c>
      <c r="G52" s="2" t="inlineStr">
        <is>
          <t>Spell / Field</t>
        </is>
      </c>
      <c r="H52" s="2" t="inlineStr">
        <is>
          <t>Frute</t>
        </is>
      </c>
      <c r="I52" s="2" t="inlineStr">
        <is>
          <t>2025-01-17</t>
        </is>
      </c>
      <c r="J52" s="2" t="inlineStr">
        <is>
          <t>/assets/cards/FRUTEONIA.jpg</t>
        </is>
      </c>
      <c r="K52" s="2" t="inlineStr">
        <is>
          <t>No</t>
        </is>
      </c>
      <c r="L52" s="2" t="inlineStr">
        <is>
          <t>No</t>
        </is>
      </c>
      <c r="M52" s="2" t="inlineStr">
        <is>
          <t>No</t>
        </is>
      </c>
      <c r="N52" s="2">
        <f>IF(AND($K52="Yes",$L52="Yes",$M52="Yes"),"Yes","No")</f>
        <v/>
      </c>
      <c r="O52" s="2" t="inlineStr"/>
    </row>
    <row r="53">
      <c r="A53" s="2" t="inlineStr">
        <is>
          <t>CARD-0052</t>
        </is>
      </c>
      <c r="B53" s="2" t="inlineStr">
        <is>
          <t>FRUTEOPIA</t>
        </is>
      </c>
      <c r="C53" s="2" t="inlineStr">
        <is>
          <t>TATA</t>
        </is>
      </c>
      <c r="D53" s="2" t="inlineStr">
        <is>
          <t>052</t>
        </is>
      </c>
      <c r="E53" s="2" t="inlineStr">
        <is>
          <t>Tainted Tails</t>
        </is>
      </c>
      <c r="F53" s="2" t="inlineStr">
        <is>
          <t>Spell</t>
        </is>
      </c>
      <c r="G53" s="2" t="inlineStr">
        <is>
          <t>Spell / Continuous</t>
        </is>
      </c>
      <c r="H53" s="2" t="inlineStr">
        <is>
          <t>Frute</t>
        </is>
      </c>
      <c r="I53" s="2" t="inlineStr">
        <is>
          <t>2025-01-17</t>
        </is>
      </c>
      <c r="J53" s="2" t="inlineStr">
        <is>
          <t>/assets/cards/FRUTEOPIA.jpg</t>
        </is>
      </c>
      <c r="K53" s="2" t="inlineStr">
        <is>
          <t>No</t>
        </is>
      </c>
      <c r="L53" s="2" t="inlineStr">
        <is>
          <t>No</t>
        </is>
      </c>
      <c r="M53" s="2" t="inlineStr">
        <is>
          <t>No</t>
        </is>
      </c>
      <c r="N53" s="2">
        <f>IF(AND($K53="Yes",$L53="Yes",$M53="Yes"),"Yes","No")</f>
        <v/>
      </c>
      <c r="O53" s="2" t="inlineStr"/>
    </row>
    <row r="54">
      <c r="A54" s="2" t="inlineStr">
        <is>
          <t>CARD-0053</t>
        </is>
      </c>
      <c r="B54" s="2" t="inlineStr">
        <is>
          <t>FRUTEACHING</t>
        </is>
      </c>
      <c r="C54" s="2" t="inlineStr">
        <is>
          <t>TATA</t>
        </is>
      </c>
      <c r="D54" s="2" t="inlineStr">
        <is>
          <t>053</t>
        </is>
      </c>
      <c r="E54" s="2" t="inlineStr">
        <is>
          <t>Tainted Tails</t>
        </is>
      </c>
      <c r="F54" s="2" t="inlineStr">
        <is>
          <t>Spell</t>
        </is>
      </c>
      <c r="G54" s="2" t="inlineStr">
        <is>
          <t>Spell / Quick-Play</t>
        </is>
      </c>
      <c r="H54" s="2" t="inlineStr">
        <is>
          <t>Frute</t>
        </is>
      </c>
      <c r="I54" s="2" t="inlineStr">
        <is>
          <t>2025-01-17</t>
        </is>
      </c>
      <c r="J54" s="2" t="inlineStr">
        <is>
          <t>/assets/cards/FRUTEACHING.jpg</t>
        </is>
      </c>
      <c r="K54" s="2" t="inlineStr">
        <is>
          <t>No</t>
        </is>
      </c>
      <c r="L54" s="2" t="inlineStr">
        <is>
          <t>No</t>
        </is>
      </c>
      <c r="M54" s="2" t="inlineStr">
        <is>
          <t>No</t>
        </is>
      </c>
      <c r="N54" s="2">
        <f>IF(AND($K54="Yes",$L54="Yes",$M54="Yes"),"Yes","No")</f>
        <v/>
      </c>
      <c r="O54" s="2" t="inlineStr"/>
    </row>
    <row r="55">
      <c r="A55" s="2" t="inlineStr">
        <is>
          <t>CARD-0054</t>
        </is>
      </c>
      <c r="B55" s="2" t="inlineStr">
        <is>
          <t>FRUTEIFICATION</t>
        </is>
      </c>
      <c r="C55" s="2" t="inlineStr">
        <is>
          <t>TATA</t>
        </is>
      </c>
      <c r="D55" s="2" t="inlineStr">
        <is>
          <t>054</t>
        </is>
      </c>
      <c r="E55" s="2" t="inlineStr">
        <is>
          <t>Tainted Tails</t>
        </is>
      </c>
      <c r="F55" s="2" t="inlineStr">
        <is>
          <t>Spell</t>
        </is>
      </c>
      <c r="G55" s="2" t="inlineStr">
        <is>
          <t>Spell / Ritual</t>
        </is>
      </c>
      <c r="H55" s="2" t="inlineStr">
        <is>
          <t>Frute</t>
        </is>
      </c>
      <c r="I55" s="2" t="inlineStr">
        <is>
          <t>2025-01-17</t>
        </is>
      </c>
      <c r="J55" s="2" t="inlineStr">
        <is>
          <t>/assets/cards/FRUTEIFICATION.jpg</t>
        </is>
      </c>
      <c r="K55" s="2" t="inlineStr">
        <is>
          <t>No</t>
        </is>
      </c>
      <c r="L55" s="2" t="inlineStr">
        <is>
          <t>No</t>
        </is>
      </c>
      <c r="M55" s="2" t="inlineStr">
        <is>
          <t>No</t>
        </is>
      </c>
      <c r="N55" s="2">
        <f>IF(AND($K55="Yes",$L55="Yes",$M55="Yes"),"Yes","No")</f>
        <v/>
      </c>
      <c r="O55" s="2" t="inlineStr"/>
    </row>
    <row r="56">
      <c r="A56" s="2" t="inlineStr">
        <is>
          <t>CARD-0055</t>
        </is>
      </c>
      <c r="B56" s="2" t="inlineStr">
        <is>
          <t>THE FLYING FRUTE</t>
        </is>
      </c>
      <c r="C56" s="2" t="inlineStr">
        <is>
          <t>TATA</t>
        </is>
      </c>
      <c r="D56" s="2" t="inlineStr">
        <is>
          <t>055</t>
        </is>
      </c>
      <c r="E56" s="2" t="inlineStr">
        <is>
          <t>Tainted Tails</t>
        </is>
      </c>
      <c r="F56" s="2" t="inlineStr">
        <is>
          <t>Monster</t>
        </is>
      </c>
      <c r="G56" s="2" t="inlineStr">
        <is>
          <t>Spellcaster / Effect / Link</t>
        </is>
      </c>
      <c r="H56" s="2" t="inlineStr">
        <is>
          <t>Frute</t>
        </is>
      </c>
      <c r="I56" s="2" t="inlineStr">
        <is>
          <t>2025-01-17</t>
        </is>
      </c>
      <c r="J56" s="2" t="inlineStr">
        <is>
          <t>/assets/cards/THE-FLYING-FRUTE.jpg</t>
        </is>
      </c>
      <c r="K56" s="2" t="inlineStr">
        <is>
          <t>No</t>
        </is>
      </c>
      <c r="L56" s="2" t="inlineStr">
        <is>
          <t>No</t>
        </is>
      </c>
      <c r="M56" s="2" t="inlineStr">
        <is>
          <t>No</t>
        </is>
      </c>
      <c r="N56" s="2">
        <f>IF(AND($K56="Yes",$L56="Yes",$M56="Yes"),"Yes","No")</f>
        <v/>
      </c>
      <c r="O56" s="2" t="inlineStr"/>
    </row>
    <row r="57">
      <c r="A57" s="2" t="inlineStr">
        <is>
          <t>CARD-0056</t>
        </is>
      </c>
      <c r="B57" s="2" t="inlineStr">
        <is>
          <t>THE HANGING FRUTE</t>
        </is>
      </c>
      <c r="C57" s="2" t="inlineStr">
        <is>
          <t>TATA</t>
        </is>
      </c>
      <c r="D57" s="2" t="inlineStr">
        <is>
          <t>056</t>
        </is>
      </c>
      <c r="E57" s="2" t="inlineStr">
        <is>
          <t>Tainted Tails</t>
        </is>
      </c>
      <c r="F57" s="2" t="inlineStr">
        <is>
          <t>Monster</t>
        </is>
      </c>
      <c r="G57" s="2" t="inlineStr">
        <is>
          <t>Spellcaster / Effect / Ritual</t>
        </is>
      </c>
      <c r="H57" s="2" t="inlineStr">
        <is>
          <t>Frute</t>
        </is>
      </c>
      <c r="I57" s="2" t="inlineStr">
        <is>
          <t>2025-01-17</t>
        </is>
      </c>
      <c r="J57" s="2" t="inlineStr">
        <is>
          <t>/assets/cards/THE-HANGING-FRUTE.jpg</t>
        </is>
      </c>
      <c r="K57" s="2" t="inlineStr">
        <is>
          <t>No</t>
        </is>
      </c>
      <c r="L57" s="2" t="inlineStr">
        <is>
          <t>No</t>
        </is>
      </c>
      <c r="M57" s="2" t="inlineStr">
        <is>
          <t>No</t>
        </is>
      </c>
      <c r="N57" s="2">
        <f>IF(AND($K57="Yes",$L57="Yes",$M57="Yes"),"Yes","No")</f>
        <v/>
      </c>
      <c r="O57" s="2" t="inlineStr"/>
    </row>
    <row r="58">
      <c r="A58" s="2" t="inlineStr">
        <is>
          <t>CARD-0057</t>
        </is>
      </c>
      <c r="B58" s="2" t="inlineStr">
        <is>
          <t>THE FRUTEFUL MOON</t>
        </is>
      </c>
      <c r="C58" s="2" t="inlineStr">
        <is>
          <t>TATA</t>
        </is>
      </c>
      <c r="D58" s="2" t="inlineStr">
        <is>
          <t>057</t>
        </is>
      </c>
      <c r="E58" s="2" t="inlineStr">
        <is>
          <t>Tainted Tails</t>
        </is>
      </c>
      <c r="F58" s="2" t="inlineStr">
        <is>
          <t>Monster</t>
        </is>
      </c>
      <c r="G58" s="2" t="inlineStr">
        <is>
          <t>Spellcaster / Effect / Ritual</t>
        </is>
      </c>
      <c r="H58" s="2" t="inlineStr">
        <is>
          <t>Frute</t>
        </is>
      </c>
      <c r="I58" s="2" t="inlineStr">
        <is>
          <t>2025-01-17</t>
        </is>
      </c>
      <c r="J58" s="2" t="inlineStr">
        <is>
          <t>/assets/cards/THE-FRUTEFUL-MOON.jpg</t>
        </is>
      </c>
      <c r="K58" s="2" t="inlineStr">
        <is>
          <t>No</t>
        </is>
      </c>
      <c r="L58" s="2" t="inlineStr">
        <is>
          <t>No</t>
        </is>
      </c>
      <c r="M58" s="2" t="inlineStr">
        <is>
          <t>No</t>
        </is>
      </c>
      <c r="N58" s="2">
        <f>IF(AND($K58="Yes",$L58="Yes",$M58="Yes"),"Yes","No")</f>
        <v/>
      </c>
      <c r="O58" s="2" t="inlineStr"/>
    </row>
    <row r="59">
      <c r="A59" s="2" t="inlineStr">
        <is>
          <t>CARD-0058</t>
        </is>
      </c>
      <c r="B59" s="2" t="inlineStr">
        <is>
          <t>THE FRUTED WARRIOR</t>
        </is>
      </c>
      <c r="C59" s="2" t="inlineStr">
        <is>
          <t>TATA</t>
        </is>
      </c>
      <c r="D59" s="2" t="inlineStr">
        <is>
          <t>058</t>
        </is>
      </c>
      <c r="E59" s="2" t="inlineStr">
        <is>
          <t>Tainted Tails</t>
        </is>
      </c>
      <c r="F59" s="2" t="inlineStr">
        <is>
          <t>Monster</t>
        </is>
      </c>
      <c r="G59" s="2" t="inlineStr">
        <is>
          <t>Spellcaster / Effect / Ritual</t>
        </is>
      </c>
      <c r="H59" s="2" t="inlineStr">
        <is>
          <t>Frute</t>
        </is>
      </c>
      <c r="I59" s="2" t="inlineStr">
        <is>
          <t>2025-01-17</t>
        </is>
      </c>
      <c r="J59" s="2" t="inlineStr">
        <is>
          <t>/assets/cards/THE-FRUTED-WARRIOR.jpg</t>
        </is>
      </c>
      <c r="K59" s="2" t="inlineStr">
        <is>
          <t>No</t>
        </is>
      </c>
      <c r="L59" s="2" t="inlineStr">
        <is>
          <t>No</t>
        </is>
      </c>
      <c r="M59" s="2" t="inlineStr">
        <is>
          <t>No</t>
        </is>
      </c>
      <c r="N59" s="2">
        <f>IF(AND($K59="Yes",$L59="Yes",$M59="Yes"),"Yes","No")</f>
        <v/>
      </c>
      <c r="O59" s="2" t="inlineStr"/>
    </row>
    <row r="60">
      <c r="A60" s="2" t="inlineStr">
        <is>
          <t>CARD-0059</t>
        </is>
      </c>
      <c r="B60" s="2" t="inlineStr">
        <is>
          <t>SACRED TREASURE - BOJIN</t>
        </is>
      </c>
      <c r="C60" s="2" t="inlineStr">
        <is>
          <t>TATA</t>
        </is>
      </c>
      <c r="D60" s="2" t="inlineStr">
        <is>
          <t>059</t>
        </is>
      </c>
      <c r="E60" s="2" t="inlineStr">
        <is>
          <t>Tainted Tails</t>
        </is>
      </c>
      <c r="F60" s="2" t="inlineStr">
        <is>
          <t>Spell</t>
        </is>
      </c>
      <c r="G60" s="2" t="inlineStr">
        <is>
          <t>Spell / Normal</t>
        </is>
      </c>
      <c r="H60" s="2" t="inlineStr">
        <is>
          <t>NiuHao</t>
        </is>
      </c>
      <c r="I60" s="2" t="inlineStr">
        <is>
          <t>2025-01-17</t>
        </is>
      </c>
      <c r="J60" s="2" t="inlineStr">
        <is>
          <t>/assets/cards/SACRED-TREASURE---BOJIN.jpg</t>
        </is>
      </c>
      <c r="K60" s="2" t="inlineStr">
        <is>
          <t>No</t>
        </is>
      </c>
      <c r="L60" s="2" t="inlineStr">
        <is>
          <t>No</t>
        </is>
      </c>
      <c r="M60" s="2" t="inlineStr">
        <is>
          <t>No</t>
        </is>
      </c>
      <c r="N60" s="2">
        <f>IF(AND($K60="Yes",$L60="Yes",$M60="Yes"),"Yes","No")</f>
        <v/>
      </c>
      <c r="O60" s="2" t="inlineStr"/>
    </row>
    <row r="61">
      <c r="A61" s="2" t="inlineStr">
        <is>
          <t>CARD-0060</t>
        </is>
      </c>
      <c r="B61" s="2" t="inlineStr">
        <is>
          <t>SACRED TREASURE - CHUNYIN</t>
        </is>
      </c>
      <c r="C61" s="2" t="inlineStr">
        <is>
          <t>TATA</t>
        </is>
      </c>
      <c r="D61" s="2" t="inlineStr">
        <is>
          <t>060</t>
        </is>
      </c>
      <c r="E61" s="2" t="inlineStr">
        <is>
          <t>Tainted Tails</t>
        </is>
      </c>
      <c r="F61" s="2" t="inlineStr">
        <is>
          <t>Spell</t>
        </is>
      </c>
      <c r="G61" s="2" t="inlineStr">
        <is>
          <t>Spell / Normal</t>
        </is>
      </c>
      <c r="H61" s="2" t="inlineStr">
        <is>
          <t>NiuHao</t>
        </is>
      </c>
      <c r="I61" s="2" t="inlineStr">
        <is>
          <t>2025-01-17</t>
        </is>
      </c>
      <c r="J61" s="2" t="inlineStr">
        <is>
          <t>/assets/cards/SACRED-TREASURE---CHUNYIN.jpg</t>
        </is>
      </c>
      <c r="K61" s="2" t="inlineStr">
        <is>
          <t>No</t>
        </is>
      </c>
      <c r="L61" s="2" t="inlineStr">
        <is>
          <t>No</t>
        </is>
      </c>
      <c r="M61" s="2" t="inlineStr">
        <is>
          <t>No</t>
        </is>
      </c>
      <c r="N61" s="2">
        <f>IF(AND($K61="Yes",$L61="Yes",$M61="Yes"),"Yes","No")</f>
        <v/>
      </c>
      <c r="O61" s="2" t="inlineStr"/>
    </row>
    <row r="62">
      <c r="A62" s="2" t="inlineStr">
        <is>
          <t>CARD-0061</t>
        </is>
      </c>
      <c r="B62" s="2" t="inlineStr">
        <is>
          <t>SACRED TREASURE - HUANGJIN</t>
        </is>
      </c>
      <c r="C62" s="2" t="inlineStr">
        <is>
          <t>TATA</t>
        </is>
      </c>
      <c r="D62" s="2" t="inlineStr">
        <is>
          <t>061</t>
        </is>
      </c>
      <c r="E62" s="2" t="inlineStr">
        <is>
          <t>Tainted Tails</t>
        </is>
      </c>
      <c r="F62" s="2" t="inlineStr">
        <is>
          <t>Spell</t>
        </is>
      </c>
      <c r="G62" s="2" t="inlineStr">
        <is>
          <t>Spell / Normal</t>
        </is>
      </c>
      <c r="H62" s="2" t="inlineStr">
        <is>
          <t>NiuHao</t>
        </is>
      </c>
      <c r="I62" s="2" t="inlineStr">
        <is>
          <t>2025-01-17</t>
        </is>
      </c>
      <c r="J62" s="2" t="inlineStr">
        <is>
          <t>/assets/cards/SACRED-TREASURE---HUANGJIN.jpg</t>
        </is>
      </c>
      <c r="K62" s="2" t="inlineStr">
        <is>
          <t>No</t>
        </is>
      </c>
      <c r="L62" s="2" t="inlineStr">
        <is>
          <t>No</t>
        </is>
      </c>
      <c r="M62" s="2" t="inlineStr">
        <is>
          <t>No</t>
        </is>
      </c>
      <c r="N62" s="2">
        <f>IF(AND($K62="Yes",$L62="Yes",$M62="Yes"),"Yes","No")</f>
        <v/>
      </c>
      <c r="O62" s="2" t="inlineStr"/>
    </row>
    <row r="63">
      <c r="A63" s="2" t="inlineStr">
        <is>
          <t>CARD-0062</t>
        </is>
      </c>
      <c r="B63" s="2" t="inlineStr">
        <is>
          <t>NIUHAO - BAUBA</t>
        </is>
      </c>
      <c r="C63" s="2" t="inlineStr">
        <is>
          <t>TATA</t>
        </is>
      </c>
      <c r="D63" s="2" t="inlineStr">
        <is>
          <t>062</t>
        </is>
      </c>
      <c r="E63" s="2" t="inlineStr">
        <is>
          <t>Tainted Tails</t>
        </is>
      </c>
      <c r="F63" s="2" t="inlineStr">
        <is>
          <t>Monster</t>
        </is>
      </c>
      <c r="G63" s="2" t="inlineStr">
        <is>
          <t>Winged Beast / Effect</t>
        </is>
      </c>
      <c r="H63" s="2" t="inlineStr">
        <is>
          <t>NiuHao</t>
        </is>
      </c>
      <c r="I63" s="2" t="inlineStr">
        <is>
          <t>2025-01-17</t>
        </is>
      </c>
      <c r="J63" s="2" t="inlineStr">
        <is>
          <t>/assets/cards/NIUHAO---BAUBA.jpg</t>
        </is>
      </c>
      <c r="K63" s="2" t="inlineStr">
        <is>
          <t>No</t>
        </is>
      </c>
      <c r="L63" s="2" t="inlineStr">
        <is>
          <t>No</t>
        </is>
      </c>
      <c r="M63" s="2" t="inlineStr">
        <is>
          <t>No</t>
        </is>
      </c>
      <c r="N63" s="2">
        <f>IF(AND($K63="Yes",$L63="Yes",$M63="Yes"),"Yes","No")</f>
        <v/>
      </c>
      <c r="O63" s="2" t="inlineStr"/>
    </row>
    <row r="64">
      <c r="A64" s="2" t="inlineStr">
        <is>
          <t>CARD-0063</t>
        </is>
      </c>
      <c r="B64" s="2" t="inlineStr">
        <is>
          <t>NIUHAO - HIKAM</t>
        </is>
      </c>
      <c r="C64" s="2" t="inlineStr">
        <is>
          <t>TATA</t>
        </is>
      </c>
      <c r="D64" s="2" t="inlineStr">
        <is>
          <t>063</t>
        </is>
      </c>
      <c r="E64" s="2" t="inlineStr">
        <is>
          <t>Tainted Tails</t>
        </is>
      </c>
      <c r="F64" s="2" t="inlineStr">
        <is>
          <t>Monster</t>
        </is>
      </c>
      <c r="G64" s="2" t="inlineStr">
        <is>
          <t>Winged Beast / Effect</t>
        </is>
      </c>
      <c r="H64" s="2" t="inlineStr">
        <is>
          <t>NiuHao</t>
        </is>
      </c>
      <c r="I64" s="2" t="inlineStr">
        <is>
          <t>2025-01-17</t>
        </is>
      </c>
      <c r="J64" s="2" t="inlineStr">
        <is>
          <t>/assets/cards/NIUHAO---HIKAM.jpg</t>
        </is>
      </c>
      <c r="K64" s="2" t="inlineStr">
        <is>
          <t>No</t>
        </is>
      </c>
      <c r="L64" s="2" t="inlineStr">
        <is>
          <t>No</t>
        </is>
      </c>
      <c r="M64" s="2" t="inlineStr">
        <is>
          <t>No</t>
        </is>
      </c>
      <c r="N64" s="2">
        <f>IF(AND($K64="Yes",$L64="Yes",$M64="Yes"),"Yes","No")</f>
        <v/>
      </c>
      <c r="O64" s="2" t="inlineStr"/>
    </row>
    <row r="65">
      <c r="A65" s="2" t="inlineStr">
        <is>
          <t>CARD-0064</t>
        </is>
      </c>
      <c r="B65" s="2" t="inlineStr">
        <is>
          <t>NIUHAO - ORO</t>
        </is>
      </c>
      <c r="C65" s="2" t="inlineStr">
        <is>
          <t>TATA</t>
        </is>
      </c>
      <c r="D65" s="2" t="inlineStr">
        <is>
          <t>064</t>
        </is>
      </c>
      <c r="E65" s="2" t="inlineStr">
        <is>
          <t>Tainted Tails</t>
        </is>
      </c>
      <c r="F65" s="2" t="inlineStr">
        <is>
          <t>Monster</t>
        </is>
      </c>
      <c r="G65" s="2" t="inlineStr">
        <is>
          <t>Winged Beast / Effect</t>
        </is>
      </c>
      <c r="H65" s="2" t="inlineStr">
        <is>
          <t>NiuHao</t>
        </is>
      </c>
      <c r="I65" s="2" t="inlineStr">
        <is>
          <t>2025-01-17</t>
        </is>
      </c>
      <c r="J65" s="2" t="inlineStr">
        <is>
          <t>/assets/cards/NIUHAO---ORO.jpg</t>
        </is>
      </c>
      <c r="K65" s="2" t="inlineStr">
        <is>
          <t>No</t>
        </is>
      </c>
      <c r="L65" s="2" t="inlineStr">
        <is>
          <t>No</t>
        </is>
      </c>
      <c r="M65" s="2" t="inlineStr">
        <is>
          <t>No</t>
        </is>
      </c>
      <c r="N65" s="2">
        <f>IF(AND($K65="Yes",$L65="Yes",$M65="Yes"),"Yes","No")</f>
        <v/>
      </c>
      <c r="O65" s="2" t="inlineStr"/>
    </row>
    <row r="66">
      <c r="A66" s="2" t="inlineStr">
        <is>
          <t>CARD-0065</t>
        </is>
      </c>
      <c r="B66" s="2" t="inlineStr">
        <is>
          <t>NIUHAO - LOKAEO</t>
        </is>
      </c>
      <c r="C66" s="2" t="inlineStr">
        <is>
          <t>TATA</t>
        </is>
      </c>
      <c r="D66" s="2" t="inlineStr">
        <is>
          <t>065</t>
        </is>
      </c>
      <c r="E66" s="2" t="inlineStr">
        <is>
          <t>Tainted Tails</t>
        </is>
      </c>
      <c r="F66" s="2" t="inlineStr">
        <is>
          <t>Monster</t>
        </is>
      </c>
      <c r="G66" s="2" t="inlineStr">
        <is>
          <t>Winged Beast / Effect</t>
        </is>
      </c>
      <c r="H66" s="2" t="inlineStr">
        <is>
          <t>NiuHao</t>
        </is>
      </c>
      <c r="I66" s="2" t="inlineStr">
        <is>
          <t>2025-01-17</t>
        </is>
      </c>
      <c r="J66" s="2" t="inlineStr">
        <is>
          <t>/assets/cards/NIUHAO---LOKAEO.jpg</t>
        </is>
      </c>
      <c r="K66" s="2" t="inlineStr">
        <is>
          <t>No</t>
        </is>
      </c>
      <c r="L66" s="2" t="inlineStr">
        <is>
          <t>No</t>
        </is>
      </c>
      <c r="M66" s="2" t="inlineStr">
        <is>
          <t>No</t>
        </is>
      </c>
      <c r="N66" s="2">
        <f>IF(AND($K66="Yes",$L66="Yes",$M66="Yes"),"Yes","No")</f>
        <v/>
      </c>
      <c r="O66" s="2" t="inlineStr"/>
    </row>
    <row r="67">
      <c r="A67" s="2" t="inlineStr">
        <is>
          <t>CARD-0066</t>
        </is>
      </c>
      <c r="B67" s="2" t="inlineStr">
        <is>
          <t>NiuHao - Zaoka</t>
        </is>
      </c>
      <c r="C67" s="2" t="inlineStr">
        <is>
          <t>TATA</t>
        </is>
      </c>
      <c r="D67" s="2" t="inlineStr">
        <is>
          <t>066</t>
        </is>
      </c>
      <c r="E67" s="2" t="inlineStr">
        <is>
          <t>Tainted Tails</t>
        </is>
      </c>
      <c r="F67" s="2" t="inlineStr">
        <is>
          <t>Monster</t>
        </is>
      </c>
      <c r="G67" s="2" t="inlineStr">
        <is>
          <t>Winged Beast / Effect</t>
        </is>
      </c>
      <c r="H67" s="2" t="inlineStr">
        <is>
          <t>NiuHao</t>
        </is>
      </c>
      <c r="I67" s="2" t="inlineStr">
        <is>
          <t>2025-01-17</t>
        </is>
      </c>
      <c r="J67" s="2" t="inlineStr">
        <is>
          <t>/assets/cards/NIUHAO---ZAOKA.jpg</t>
        </is>
      </c>
      <c r="K67" s="2" t="inlineStr">
        <is>
          <t>No</t>
        </is>
      </c>
      <c r="L67" s="2" t="inlineStr">
        <is>
          <t>No</t>
        </is>
      </c>
      <c r="M67" s="2" t="inlineStr">
        <is>
          <t>No</t>
        </is>
      </c>
      <c r="N67" s="2">
        <f>IF(AND($K67="Yes",$L67="Yes",$M67="Yes"),"Yes","No")</f>
        <v/>
      </c>
      <c r="O67" s="2" t="inlineStr"/>
    </row>
    <row r="68">
      <c r="A68" s="2" t="inlineStr">
        <is>
          <t>CARD-0067</t>
        </is>
      </c>
      <c r="B68" s="2" t="inlineStr">
        <is>
          <t>NiuHao - Koai</t>
        </is>
      </c>
      <c r="C68" s="2" t="inlineStr">
        <is>
          <t>TATA</t>
        </is>
      </c>
      <c r="D68" s="2" t="inlineStr">
        <is>
          <t>067</t>
        </is>
      </c>
      <c r="E68" s="2" t="inlineStr">
        <is>
          <t>Tainted Tails</t>
        </is>
      </c>
      <c r="F68" s="2" t="inlineStr">
        <is>
          <t>Monster</t>
        </is>
      </c>
      <c r="G68" s="2" t="inlineStr">
        <is>
          <t>Winged Beast / Xyz / Effect</t>
        </is>
      </c>
      <c r="H68" s="2" t="inlineStr">
        <is>
          <t>NiuHao</t>
        </is>
      </c>
      <c r="I68" s="2" t="inlineStr">
        <is>
          <t>2025-01-17</t>
        </is>
      </c>
      <c r="J68" s="2" t="inlineStr">
        <is>
          <t>/assets/cards/NIUHAO---KOAI.jpg</t>
        </is>
      </c>
      <c r="K68" s="2" t="inlineStr">
        <is>
          <t>No</t>
        </is>
      </c>
      <c r="L68" s="2" t="inlineStr">
        <is>
          <t>No</t>
        </is>
      </c>
      <c r="M68" s="2" t="inlineStr">
        <is>
          <t>No</t>
        </is>
      </c>
      <c r="N68" s="2">
        <f>IF(AND($K68="Yes",$L68="Yes",$M68="Yes"),"Yes","No")</f>
        <v/>
      </c>
      <c r="O68" s="2" t="inlineStr"/>
    </row>
    <row r="69">
      <c r="A69" s="2" t="inlineStr">
        <is>
          <t>CARD-0068</t>
        </is>
      </c>
      <c r="B69" s="2" t="inlineStr">
        <is>
          <t>NiuHao - Zao</t>
        </is>
      </c>
      <c r="C69" s="2" t="inlineStr">
        <is>
          <t>TATA</t>
        </is>
      </c>
      <c r="D69" s="2" t="inlineStr">
        <is>
          <t>068</t>
        </is>
      </c>
      <c r="E69" s="2" t="inlineStr">
        <is>
          <t>Tainted Tails</t>
        </is>
      </c>
      <c r="F69" s="2" t="inlineStr">
        <is>
          <t>Monster</t>
        </is>
      </c>
      <c r="G69" s="2" t="inlineStr">
        <is>
          <t>Winged Beast / Xyz / Effect</t>
        </is>
      </c>
      <c r="H69" s="2" t="inlineStr">
        <is>
          <t>NiuHao</t>
        </is>
      </c>
      <c r="I69" s="2" t="inlineStr">
        <is>
          <t>2025-01-17</t>
        </is>
      </c>
      <c r="J69" s="2" t="inlineStr">
        <is>
          <t>/assets/cards/NIUHAO---ZAO.jpg</t>
        </is>
      </c>
      <c r="K69" s="2" t="inlineStr">
        <is>
          <t>No</t>
        </is>
      </c>
      <c r="L69" s="2" t="inlineStr">
        <is>
          <t>No</t>
        </is>
      </c>
      <c r="M69" s="2" t="inlineStr">
        <is>
          <t>No</t>
        </is>
      </c>
      <c r="N69" s="2">
        <f>IF(AND($K69="Yes",$L69="Yes",$M69="Yes"),"Yes","No")</f>
        <v/>
      </c>
      <c r="O69" s="2" t="inlineStr"/>
    </row>
    <row r="70">
      <c r="A70" s="2" t="inlineStr">
        <is>
          <t>CARD-0069</t>
        </is>
      </c>
      <c r="B70" s="2" t="inlineStr">
        <is>
          <t>Pip, the Domesticated</t>
        </is>
      </c>
      <c r="C70" s="2" t="inlineStr">
        <is>
          <t>TATA</t>
        </is>
      </c>
      <c r="D70" s="2" t="inlineStr">
        <is>
          <t>069</t>
        </is>
      </c>
      <c r="E70" s="2" t="inlineStr">
        <is>
          <t>Tainted Tails</t>
        </is>
      </c>
      <c r="F70" s="2" t="inlineStr">
        <is>
          <t>Monster</t>
        </is>
      </c>
      <c r="G70" s="2" t="inlineStr">
        <is>
          <t>Beast / Effect</t>
        </is>
      </c>
      <c r="H70" s="2" t="inlineStr">
        <is>
          <t>Domestica</t>
        </is>
      </c>
      <c r="I70" s="2" t="inlineStr">
        <is>
          <t>2025-01-17</t>
        </is>
      </c>
      <c r="J70" s="2" t="inlineStr">
        <is>
          <t>/assets/cards/PIP,-THE-DOMESTICATED.jpg</t>
        </is>
      </c>
      <c r="K70" s="2" t="inlineStr">
        <is>
          <t>No</t>
        </is>
      </c>
      <c r="L70" s="2" t="inlineStr">
        <is>
          <t>No</t>
        </is>
      </c>
      <c r="M70" s="2" t="inlineStr">
        <is>
          <t>No</t>
        </is>
      </c>
      <c r="N70" s="2">
        <f>IF(AND($K70="Yes",$L70="Yes",$M70="Yes"),"Yes","No")</f>
        <v/>
      </c>
      <c r="O70" s="2" t="inlineStr"/>
    </row>
    <row r="71">
      <c r="A71" s="2" t="inlineStr">
        <is>
          <t>CARD-0070</t>
        </is>
      </c>
      <c r="B71" s="2" t="inlineStr">
        <is>
          <t>Tove, the Domesticated</t>
        </is>
      </c>
      <c r="C71" s="2" t="inlineStr">
        <is>
          <t>TATA</t>
        </is>
      </c>
      <c r="D71" s="2" t="inlineStr">
        <is>
          <t>070</t>
        </is>
      </c>
      <c r="E71" s="2" t="inlineStr">
        <is>
          <t>Tainted Tails</t>
        </is>
      </c>
      <c r="F71" s="2" t="inlineStr">
        <is>
          <t>Monster</t>
        </is>
      </c>
      <c r="G71" s="2" t="inlineStr">
        <is>
          <t>Beast / Effect</t>
        </is>
      </c>
      <c r="H71" s="2" t="inlineStr">
        <is>
          <t>Domestica</t>
        </is>
      </c>
      <c r="I71" s="2" t="inlineStr">
        <is>
          <t>2025-01-17</t>
        </is>
      </c>
      <c r="J71" s="2" t="inlineStr">
        <is>
          <t>/assets/cards/TOVE,-THE-DOMESTICATED.jpg</t>
        </is>
      </c>
      <c r="K71" s="2" t="inlineStr">
        <is>
          <t>No</t>
        </is>
      </c>
      <c r="L71" s="2" t="inlineStr">
        <is>
          <t>No</t>
        </is>
      </c>
      <c r="M71" s="2" t="inlineStr">
        <is>
          <t>No</t>
        </is>
      </c>
      <c r="N71" s="2">
        <f>IF(AND($K71="Yes",$L71="Yes",$M71="Yes"),"Yes","No")</f>
        <v/>
      </c>
      <c r="O71" s="2" t="inlineStr"/>
    </row>
    <row r="72">
      <c r="A72" s="2" t="inlineStr">
        <is>
          <t>CARD-0071</t>
        </is>
      </c>
      <c r="B72" s="2" t="inlineStr">
        <is>
          <t>Domestica Praerie</t>
        </is>
      </c>
      <c r="C72" s="2" t="inlineStr">
        <is>
          <t>TATA</t>
        </is>
      </c>
      <c r="D72" s="2" t="inlineStr">
        <is>
          <t>071</t>
        </is>
      </c>
      <c r="E72" s="2" t="inlineStr">
        <is>
          <t>Tainted Tails</t>
        </is>
      </c>
      <c r="F72" s="2" t="inlineStr">
        <is>
          <t>Monster</t>
        </is>
      </c>
      <c r="G72" s="2" t="inlineStr">
        <is>
          <t>Fairy / Effect</t>
        </is>
      </c>
      <c r="H72" s="2" t="inlineStr">
        <is>
          <t>Domestica</t>
        </is>
      </c>
      <c r="I72" s="2" t="inlineStr">
        <is>
          <t>2025-01-17</t>
        </is>
      </c>
      <c r="J72" s="2" t="inlineStr">
        <is>
          <t>/assets/cards/DOMESTICA-PRAERIE.jpg</t>
        </is>
      </c>
      <c r="K72" s="2" t="inlineStr">
        <is>
          <t>No</t>
        </is>
      </c>
      <c r="L72" s="2" t="inlineStr">
        <is>
          <t>No</t>
        </is>
      </c>
      <c r="M72" s="2" t="inlineStr">
        <is>
          <t>No</t>
        </is>
      </c>
      <c r="N72" s="2">
        <f>IF(AND($K72="Yes",$L72="Yes",$M72="Yes"),"Yes","No")</f>
        <v/>
      </c>
      <c r="O72" s="2" t="inlineStr"/>
    </row>
    <row r="73">
      <c r="A73" s="2" t="inlineStr">
        <is>
          <t>CARD-0072</t>
        </is>
      </c>
      <c r="B73" s="2" t="inlineStr">
        <is>
          <t>Domestica Anjelie</t>
        </is>
      </c>
      <c r="C73" s="2" t="inlineStr">
        <is>
          <t>TATA</t>
        </is>
      </c>
      <c r="D73" s="2" t="inlineStr">
        <is>
          <t>072</t>
        </is>
      </c>
      <c r="E73" s="2" t="inlineStr">
        <is>
          <t>Tainted Tails</t>
        </is>
      </c>
      <c r="F73" s="2" t="inlineStr">
        <is>
          <t>Monster</t>
        </is>
      </c>
      <c r="G73" s="2" t="inlineStr">
        <is>
          <t>Fairy / Effect</t>
        </is>
      </c>
      <c r="H73" s="2" t="inlineStr">
        <is>
          <t>Domestica</t>
        </is>
      </c>
      <c r="I73" s="2" t="inlineStr">
        <is>
          <t>2025-01-17</t>
        </is>
      </c>
      <c r="J73" s="2" t="inlineStr">
        <is>
          <t>/assets/cards/DOMESTICA-ANJELIE.jpg</t>
        </is>
      </c>
      <c r="K73" s="2" t="inlineStr">
        <is>
          <t>No</t>
        </is>
      </c>
      <c r="L73" s="2" t="inlineStr">
        <is>
          <t>No</t>
        </is>
      </c>
      <c r="M73" s="2" t="inlineStr">
        <is>
          <t>No</t>
        </is>
      </c>
      <c r="N73" s="2">
        <f>IF(AND($K73="Yes",$L73="Yes",$M73="Yes"),"Yes","No")</f>
        <v/>
      </c>
      <c r="O73" s="2" t="inlineStr"/>
    </row>
    <row r="74">
      <c r="A74" s="2" t="inlineStr">
        <is>
          <t>CARD-0073</t>
        </is>
      </c>
      <c r="B74" s="2" t="inlineStr">
        <is>
          <t>Domestica Lunalie</t>
        </is>
      </c>
      <c r="C74" s="2" t="inlineStr">
        <is>
          <t>TATA</t>
        </is>
      </c>
      <c r="D74" s="2" t="inlineStr">
        <is>
          <t>073</t>
        </is>
      </c>
      <c r="E74" s="2" t="inlineStr">
        <is>
          <t>Tainted Tails</t>
        </is>
      </c>
      <c r="F74" s="2" t="inlineStr">
        <is>
          <t>Monster</t>
        </is>
      </c>
      <c r="G74" s="2" t="inlineStr">
        <is>
          <t>Fairy / Effect</t>
        </is>
      </c>
      <c r="H74" s="2" t="inlineStr">
        <is>
          <t>Domestica</t>
        </is>
      </c>
      <c r="I74" s="2" t="inlineStr">
        <is>
          <t>2025-01-17</t>
        </is>
      </c>
      <c r="J74" s="2" t="inlineStr">
        <is>
          <t>/assets/cards/DOMESTICA-LUNALIE.jpg</t>
        </is>
      </c>
      <c r="K74" s="2" t="inlineStr">
        <is>
          <t>No</t>
        </is>
      </c>
      <c r="L74" s="2" t="inlineStr">
        <is>
          <t>No</t>
        </is>
      </c>
      <c r="M74" s="2" t="inlineStr">
        <is>
          <t>No</t>
        </is>
      </c>
      <c r="N74" s="2">
        <f>IF(AND($K74="Yes",$L74="Yes",$M74="Yes"),"Yes","No")</f>
        <v/>
      </c>
      <c r="O74" s="2" t="inlineStr"/>
    </row>
    <row r="75">
      <c r="A75" s="2" t="inlineStr">
        <is>
          <t>CARD-0074</t>
        </is>
      </c>
      <c r="B75" s="2" t="inlineStr">
        <is>
          <t>Domestication</t>
        </is>
      </c>
      <c r="C75" s="2" t="inlineStr">
        <is>
          <t>TATA</t>
        </is>
      </c>
      <c r="D75" s="2" t="inlineStr">
        <is>
          <t>074</t>
        </is>
      </c>
      <c r="E75" s="2" t="inlineStr">
        <is>
          <t>Tainted Tails</t>
        </is>
      </c>
      <c r="F75" s="2" t="inlineStr">
        <is>
          <t>Spell</t>
        </is>
      </c>
      <c r="G75" s="2" t="inlineStr">
        <is>
          <t>Spell / Normal</t>
        </is>
      </c>
      <c r="H75" s="2" t="inlineStr">
        <is>
          <t>Domestica</t>
        </is>
      </c>
      <c r="I75" s="2" t="inlineStr">
        <is>
          <t>2025-01-17</t>
        </is>
      </c>
      <c r="J75" s="2" t="inlineStr">
        <is>
          <t>/assets/cards/DOMESTICATION.jpg</t>
        </is>
      </c>
      <c r="K75" s="2" t="inlineStr">
        <is>
          <t>No</t>
        </is>
      </c>
      <c r="L75" s="2" t="inlineStr">
        <is>
          <t>No</t>
        </is>
      </c>
      <c r="M75" s="2" t="inlineStr">
        <is>
          <t>No</t>
        </is>
      </c>
      <c r="N75" s="2">
        <f>IF(AND($K75="Yes",$L75="Yes",$M75="Yes"),"Yes","No")</f>
        <v/>
      </c>
      <c r="O75" s="2" t="inlineStr"/>
    </row>
    <row r="76">
      <c r="A76" s="2" t="inlineStr">
        <is>
          <t>CARD-0075</t>
        </is>
      </c>
      <c r="B76" s="2" t="inlineStr">
        <is>
          <t>Domestic Underworld</t>
        </is>
      </c>
      <c r="C76" s="2" t="inlineStr">
        <is>
          <t>TATA</t>
        </is>
      </c>
      <c r="D76" s="2" t="inlineStr">
        <is>
          <t>075</t>
        </is>
      </c>
      <c r="E76" s="2" t="inlineStr">
        <is>
          <t>Tainted Tails</t>
        </is>
      </c>
      <c r="F76" s="2" t="inlineStr">
        <is>
          <t>Spell</t>
        </is>
      </c>
      <c r="G76" s="2" t="inlineStr">
        <is>
          <t>Spell / Continuous</t>
        </is>
      </c>
      <c r="H76" s="2" t="inlineStr">
        <is>
          <t>Domestica</t>
        </is>
      </c>
      <c r="I76" s="2" t="inlineStr">
        <is>
          <t>2025-01-17</t>
        </is>
      </c>
      <c r="J76" s="2" t="inlineStr">
        <is>
          <t>/assets/cards/DOMESTIC-UNDERWORLD.jpg</t>
        </is>
      </c>
      <c r="K76" s="2" t="inlineStr">
        <is>
          <t>No</t>
        </is>
      </c>
      <c r="L76" s="2" t="inlineStr">
        <is>
          <t>No</t>
        </is>
      </c>
      <c r="M76" s="2" t="inlineStr">
        <is>
          <t>No</t>
        </is>
      </c>
      <c r="N76" s="2">
        <f>IF(AND($K76="Yes",$L76="Yes",$M76="Yes"),"Yes","No")</f>
        <v/>
      </c>
      <c r="O76" s="2" t="inlineStr"/>
    </row>
    <row r="77">
      <c r="A77" s="2" t="inlineStr">
        <is>
          <t>CARD-0076</t>
        </is>
      </c>
      <c r="B77" s="2" t="inlineStr">
        <is>
          <t>Domestica in the Underworld</t>
        </is>
      </c>
      <c r="C77" s="2" t="inlineStr">
        <is>
          <t>TATA</t>
        </is>
      </c>
      <c r="D77" s="2" t="inlineStr">
        <is>
          <t>076</t>
        </is>
      </c>
      <c r="E77" s="2" t="inlineStr">
        <is>
          <t>Tainted Tails</t>
        </is>
      </c>
      <c r="F77" s="2" t="inlineStr">
        <is>
          <t>Spell</t>
        </is>
      </c>
      <c r="G77" s="2" t="inlineStr">
        <is>
          <t>Spell / Continuous</t>
        </is>
      </c>
      <c r="H77" s="2" t="inlineStr">
        <is>
          <t>Domestica</t>
        </is>
      </c>
      <c r="I77" s="2" t="inlineStr">
        <is>
          <t>2025-01-17</t>
        </is>
      </c>
      <c r="J77" s="2" t="inlineStr">
        <is>
          <t>/assets/cards/DOMESTICA-IN-THE-UNDERWORLD.jpg</t>
        </is>
      </c>
      <c r="K77" s="2" t="inlineStr">
        <is>
          <t>No</t>
        </is>
      </c>
      <c r="L77" s="2" t="inlineStr">
        <is>
          <t>No</t>
        </is>
      </c>
      <c r="M77" s="2" t="inlineStr">
        <is>
          <t>No</t>
        </is>
      </c>
      <c r="N77" s="2">
        <f>IF(AND($K77="Yes",$L77="Yes",$M77="Yes"),"Yes","No")</f>
        <v/>
      </c>
      <c r="O77" s="2" t="inlineStr"/>
    </row>
    <row r="78">
      <c r="A78" s="2" t="inlineStr">
        <is>
          <t>CARD-0077</t>
        </is>
      </c>
      <c r="B78" s="2" t="inlineStr">
        <is>
          <t>Domestica in the Wild</t>
        </is>
      </c>
      <c r="C78" s="2" t="inlineStr">
        <is>
          <t>TATA</t>
        </is>
      </c>
      <c r="D78" s="2" t="inlineStr">
        <is>
          <t>077</t>
        </is>
      </c>
      <c r="E78" s="2" t="inlineStr">
        <is>
          <t>Tainted Tails</t>
        </is>
      </c>
      <c r="F78" s="2" t="inlineStr">
        <is>
          <t>Trap</t>
        </is>
      </c>
      <c r="G78" s="2" t="inlineStr">
        <is>
          <t>Trap / Continuous</t>
        </is>
      </c>
      <c r="H78" s="2" t="inlineStr">
        <is>
          <t>Domestica</t>
        </is>
      </c>
      <c r="I78" s="2" t="inlineStr">
        <is>
          <t>2025-01-17</t>
        </is>
      </c>
      <c r="J78" s="2" t="inlineStr">
        <is>
          <t>/assets/cards/DOMESTICA-IN-THE-WILD.jpg</t>
        </is>
      </c>
      <c r="K78" s="2" t="inlineStr">
        <is>
          <t>No</t>
        </is>
      </c>
      <c r="L78" s="2" t="inlineStr">
        <is>
          <t>No</t>
        </is>
      </c>
      <c r="M78" s="2" t="inlineStr">
        <is>
          <t>No</t>
        </is>
      </c>
      <c r="N78" s="2">
        <f>IF(AND($K78="Yes",$L78="Yes",$M78="Yes"),"Yes","No")</f>
        <v/>
      </c>
      <c r="O78" s="2" t="inlineStr"/>
    </row>
    <row r="79">
      <c r="A79" s="2" t="inlineStr">
        <is>
          <t>CARD-0078</t>
        </is>
      </c>
      <c r="B79" s="2" t="inlineStr">
        <is>
          <t>Domestica Kyrie</t>
        </is>
      </c>
      <c r="C79" s="2" t="inlineStr">
        <is>
          <t>TATA</t>
        </is>
      </c>
      <c r="D79" s="2" t="inlineStr">
        <is>
          <t>078</t>
        </is>
      </c>
      <c r="E79" s="2" t="inlineStr">
        <is>
          <t>Tainted Tails</t>
        </is>
      </c>
      <c r="F79" s="2" t="inlineStr">
        <is>
          <t>Monster</t>
        </is>
      </c>
      <c r="G79" s="2" t="inlineStr">
        <is>
          <t>Fairy / Fusion / Effect</t>
        </is>
      </c>
      <c r="H79" s="2" t="inlineStr">
        <is>
          <t>Domestica</t>
        </is>
      </c>
      <c r="I79" s="2" t="inlineStr">
        <is>
          <t>2025-01-17</t>
        </is>
      </c>
      <c r="J79" s="2" t="inlineStr">
        <is>
          <t>/assets/cards/DOMESTICA-KYRIE.jpg</t>
        </is>
      </c>
      <c r="K79" s="2" t="inlineStr">
        <is>
          <t>No</t>
        </is>
      </c>
      <c r="L79" s="2" t="inlineStr">
        <is>
          <t>No</t>
        </is>
      </c>
      <c r="M79" s="2" t="inlineStr">
        <is>
          <t>No</t>
        </is>
      </c>
      <c r="N79" s="2">
        <f>IF(AND($K79="Yes",$L79="Yes",$M79="Yes"),"Yes","No")</f>
        <v/>
      </c>
      <c r="O79" s="2" t="inlineStr"/>
    </row>
    <row r="80">
      <c r="A80" s="2" t="inlineStr">
        <is>
          <t>CARD-0079</t>
        </is>
      </c>
      <c r="B80" s="2" t="inlineStr">
        <is>
          <t>Pip in the Wild</t>
        </is>
      </c>
      <c r="C80" s="2" t="inlineStr">
        <is>
          <t>TATA</t>
        </is>
      </c>
      <c r="D80" s="2" t="inlineStr">
        <is>
          <t>079</t>
        </is>
      </c>
      <c r="E80" s="2" t="inlineStr">
        <is>
          <t>Tainted Tails</t>
        </is>
      </c>
      <c r="F80" s="2" t="inlineStr">
        <is>
          <t>Monster</t>
        </is>
      </c>
      <c r="G80" s="2" t="inlineStr">
        <is>
          <t>Beast / Fusion / Effect</t>
        </is>
      </c>
      <c r="H80" s="2" t="inlineStr">
        <is>
          <t>Domestica</t>
        </is>
      </c>
      <c r="I80" s="2" t="inlineStr">
        <is>
          <t>2025-01-17</t>
        </is>
      </c>
      <c r="J80" s="2" t="inlineStr">
        <is>
          <t>/assets/cards/PIP-IN-THE-WILD.jpg</t>
        </is>
      </c>
      <c r="K80" s="2" t="inlineStr">
        <is>
          <t>No</t>
        </is>
      </c>
      <c r="L80" s="2" t="inlineStr">
        <is>
          <t>No</t>
        </is>
      </c>
      <c r="M80" s="2" t="inlineStr">
        <is>
          <t>No</t>
        </is>
      </c>
      <c r="N80" s="2">
        <f>IF(AND($K80="Yes",$L80="Yes",$M80="Yes"),"Yes","No")</f>
        <v/>
      </c>
      <c r="O80" s="2" t="inlineStr"/>
    </row>
    <row r="81">
      <c r="A81" s="2" t="inlineStr">
        <is>
          <t>CARD-0080</t>
        </is>
      </c>
      <c r="B81" s="2" t="inlineStr">
        <is>
          <t>Tove in the Wild</t>
        </is>
      </c>
      <c r="C81" s="2" t="inlineStr">
        <is>
          <t>TATA</t>
        </is>
      </c>
      <c r="D81" s="2" t="inlineStr">
        <is>
          <t>080</t>
        </is>
      </c>
      <c r="E81" s="2" t="inlineStr">
        <is>
          <t>Tainted Tails</t>
        </is>
      </c>
      <c r="F81" s="2" t="inlineStr">
        <is>
          <t>Monster</t>
        </is>
      </c>
      <c r="G81" s="2" t="inlineStr">
        <is>
          <t>Beast / Fusion / Effect</t>
        </is>
      </c>
      <c r="H81" s="2" t="inlineStr">
        <is>
          <t>Domestica</t>
        </is>
      </c>
      <c r="I81" s="2" t="inlineStr">
        <is>
          <t>2025-01-17</t>
        </is>
      </c>
      <c r="J81" s="2" t="inlineStr">
        <is>
          <t>/assets/cards/TOVE-IN-THE-WILD.jpg</t>
        </is>
      </c>
      <c r="K81" s="2" t="inlineStr">
        <is>
          <t>No</t>
        </is>
      </c>
      <c r="L81" s="2" t="inlineStr">
        <is>
          <t>No</t>
        </is>
      </c>
      <c r="M81" s="2" t="inlineStr">
        <is>
          <t>No</t>
        </is>
      </c>
      <c r="N81" s="2">
        <f>IF(AND($K81="Yes",$L81="Yes",$M81="Yes"),"Yes","No")</f>
        <v/>
      </c>
      <c r="O81" s="2" t="inlineStr"/>
    </row>
    <row r="82">
      <c r="A82" s="2" t="inlineStr">
        <is>
          <t>CARD-0081</t>
        </is>
      </c>
      <c r="B82" s="2" t="inlineStr">
        <is>
          <t>Remembrance of the Melody</t>
        </is>
      </c>
      <c r="C82" s="2" t="inlineStr">
        <is>
          <t>COOR</t>
        </is>
      </c>
      <c r="D82" s="2" t="inlineStr">
        <is>
          <t>0001</t>
        </is>
      </c>
      <c r="E82" s="2" t="inlineStr">
        <is>
          <t>Cosmic Origins</t>
        </is>
      </c>
      <c r="F82" s="2" t="inlineStr">
        <is>
          <t>Spell</t>
        </is>
      </c>
      <c r="G82" s="2" t="inlineStr">
        <is>
          <t>Spell / Quick-Play</t>
        </is>
      </c>
      <c r="H82" s="2" t="inlineStr"/>
      <c r="I82" s="2" t="inlineStr">
        <is>
          <t>2025-05-01</t>
        </is>
      </c>
      <c r="J82" s="2" t="inlineStr">
        <is>
          <t>/assets/cards/REMEMBRANCE-OF-THE-MELODY.jpeg</t>
        </is>
      </c>
      <c r="K82" s="2" t="inlineStr">
        <is>
          <t>No</t>
        </is>
      </c>
      <c r="L82" s="2" t="inlineStr">
        <is>
          <t>No</t>
        </is>
      </c>
      <c r="M82" s="2" t="inlineStr">
        <is>
          <t>No</t>
        </is>
      </c>
      <c r="N82" s="2">
        <f>IF(AND($K82="Yes",$L82="Yes",$M82="Yes"),"Yes","No")</f>
        <v/>
      </c>
      <c r="O82" s="2" t="inlineStr"/>
    </row>
    <row r="83">
      <c r="A83" s="2" t="inlineStr">
        <is>
          <t>CARD-0082</t>
        </is>
      </c>
      <c r="B83" s="2" t="inlineStr">
        <is>
          <t>Chaos Fusion</t>
        </is>
      </c>
      <c r="C83" s="2" t="inlineStr">
        <is>
          <t>COOR</t>
        </is>
      </c>
      <c r="D83" s="2" t="inlineStr">
        <is>
          <t>0002</t>
        </is>
      </c>
      <c r="E83" s="2" t="inlineStr">
        <is>
          <t>Cosmic Origins</t>
        </is>
      </c>
      <c r="F83" s="2" t="inlineStr">
        <is>
          <t>Spell</t>
        </is>
      </c>
      <c r="G83" s="2" t="inlineStr">
        <is>
          <t>Spell / Quick-Play</t>
        </is>
      </c>
      <c r="H83" s="2" t="inlineStr">
        <is>
          <t>Chaos</t>
        </is>
      </c>
      <c r="I83" s="2" t="inlineStr">
        <is>
          <t>2025-05-01</t>
        </is>
      </c>
      <c r="J83" s="2" t="inlineStr">
        <is>
          <t>/assets/cards/CHAOS-FUSION.jpeg</t>
        </is>
      </c>
      <c r="K83" s="2" t="inlineStr">
        <is>
          <t>No</t>
        </is>
      </c>
      <c r="L83" s="2" t="inlineStr">
        <is>
          <t>No</t>
        </is>
      </c>
      <c r="M83" s="2" t="inlineStr">
        <is>
          <t>No</t>
        </is>
      </c>
      <c r="N83" s="2">
        <f>IF(AND($K83="Yes",$L83="Yes",$M83="Yes"),"Yes","No")</f>
        <v/>
      </c>
      <c r="O83" s="2" t="inlineStr"/>
    </row>
    <row r="84">
      <c r="A84" s="2" t="inlineStr">
        <is>
          <t>CARD-0083</t>
        </is>
      </c>
      <c r="B84" s="2" t="inlineStr">
        <is>
          <t>URSARCTIC MIKAILUS</t>
        </is>
      </c>
      <c r="C84" s="2" t="inlineStr">
        <is>
          <t>COOR</t>
        </is>
      </c>
      <c r="D84" s="2" t="inlineStr">
        <is>
          <t>003</t>
        </is>
      </c>
      <c r="E84" s="2" t="inlineStr">
        <is>
          <t>Cosmic Origins</t>
        </is>
      </c>
      <c r="F84" s="2" t="inlineStr">
        <is>
          <t>Monster</t>
        </is>
      </c>
      <c r="G84" s="2" t="inlineStr">
        <is>
          <t>Beast / Effect</t>
        </is>
      </c>
      <c r="H84" s="2" t="inlineStr">
        <is>
          <t>Ursarctic</t>
        </is>
      </c>
      <c r="I84" s="2" t="inlineStr">
        <is>
          <t>2025-05-01</t>
        </is>
      </c>
      <c r="J84" s="2" t="inlineStr">
        <is>
          <t>/assets/cards/URSARCTIC-MIKAILUS.jpg</t>
        </is>
      </c>
      <c r="K84" s="2" t="inlineStr">
        <is>
          <t>No</t>
        </is>
      </c>
      <c r="L84" s="2" t="inlineStr">
        <is>
          <t>No</t>
        </is>
      </c>
      <c r="M84" s="2" t="inlineStr">
        <is>
          <t>No</t>
        </is>
      </c>
      <c r="N84" s="2">
        <f>IF(AND($K84="Yes",$L84="Yes",$M84="Yes"),"Yes","No")</f>
        <v/>
      </c>
      <c r="O84" s="2" t="inlineStr"/>
    </row>
    <row r="85">
      <c r="A85" s="2" t="inlineStr">
        <is>
          <t>CARD-0084</t>
        </is>
      </c>
      <c r="B85" s="2" t="inlineStr">
        <is>
          <t>URSARCTIC MEGAILUS</t>
        </is>
      </c>
      <c r="C85" s="2" t="inlineStr">
        <is>
          <t>COOR</t>
        </is>
      </c>
      <c r="D85" s="2" t="inlineStr">
        <is>
          <t>004</t>
        </is>
      </c>
      <c r="E85" s="2" t="inlineStr">
        <is>
          <t>Cosmic Origins</t>
        </is>
      </c>
      <c r="F85" s="2" t="inlineStr">
        <is>
          <t>Monster</t>
        </is>
      </c>
      <c r="G85" s="2" t="inlineStr">
        <is>
          <t>Beast-Warrior / Effect</t>
        </is>
      </c>
      <c r="H85" s="2" t="inlineStr">
        <is>
          <t>Ursarctic</t>
        </is>
      </c>
      <c r="I85" s="2" t="inlineStr">
        <is>
          <t>2025-05-01</t>
        </is>
      </c>
      <c r="J85" s="2" t="inlineStr">
        <is>
          <t>/assets/cards/URSARCTIC-MEGAILUS.jpg</t>
        </is>
      </c>
      <c r="K85" s="2" t="inlineStr">
        <is>
          <t>No</t>
        </is>
      </c>
      <c r="L85" s="2" t="inlineStr">
        <is>
          <t>No</t>
        </is>
      </c>
      <c r="M85" s="2" t="inlineStr">
        <is>
          <t>No</t>
        </is>
      </c>
      <c r="N85" s="2">
        <f>IF(AND($K85="Yes",$L85="Yes",$M85="Yes"),"Yes","No")</f>
        <v/>
      </c>
      <c r="O85" s="2" t="inlineStr"/>
    </row>
    <row r="86">
      <c r="A86" s="2" t="inlineStr">
        <is>
          <t>CARD-0085</t>
        </is>
      </c>
      <c r="B86" s="2" t="inlineStr">
        <is>
          <t>URSARCTIC LEOSHIP</t>
        </is>
      </c>
      <c r="C86" s="2" t="inlineStr">
        <is>
          <t>COOR</t>
        </is>
      </c>
      <c r="D86" s="2" t="inlineStr">
        <is>
          <t>005</t>
        </is>
      </c>
      <c r="E86" s="2" t="inlineStr">
        <is>
          <t>Cosmic Origins</t>
        </is>
      </c>
      <c r="F86" s="2" t="inlineStr">
        <is>
          <t>Spell</t>
        </is>
      </c>
      <c r="G86" s="2" t="inlineStr">
        <is>
          <t>Spell / Continuous</t>
        </is>
      </c>
      <c r="H86" s="2" t="inlineStr">
        <is>
          <t>Ursarctic</t>
        </is>
      </c>
      <c r="I86" s="2" t="inlineStr">
        <is>
          <t>2025-05-01</t>
        </is>
      </c>
      <c r="J86" s="2" t="inlineStr">
        <is>
          <t>/assets/cards/URSARCTIC-LEOSHIP.jpg</t>
        </is>
      </c>
      <c r="K86" s="2" t="inlineStr">
        <is>
          <t>No</t>
        </is>
      </c>
      <c r="L86" s="2" t="inlineStr">
        <is>
          <t>No</t>
        </is>
      </c>
      <c r="M86" s="2" t="inlineStr">
        <is>
          <t>No</t>
        </is>
      </c>
      <c r="N86" s="2">
        <f>IF(AND($K86="Yes",$L86="Yes",$M86="Yes"),"Yes","No")</f>
        <v/>
      </c>
      <c r="O86" s="2" t="inlineStr"/>
    </row>
    <row r="87">
      <c r="A87" s="2" t="inlineStr">
        <is>
          <t>CARD-0086</t>
        </is>
      </c>
      <c r="B87" s="2" t="inlineStr">
        <is>
          <t>URSARCTIC OCTANTIS</t>
        </is>
      </c>
      <c r="C87" s="2" t="inlineStr">
        <is>
          <t>COOR</t>
        </is>
      </c>
      <c r="D87" s="2" t="inlineStr">
        <is>
          <t>006</t>
        </is>
      </c>
      <c r="E87" s="2" t="inlineStr">
        <is>
          <t>Cosmic Origins</t>
        </is>
      </c>
      <c r="F87" s="2" t="inlineStr">
        <is>
          <t>Monster</t>
        </is>
      </c>
      <c r="G87" s="2" t="inlineStr">
        <is>
          <t>Machine / Effect / Synchro</t>
        </is>
      </c>
      <c r="H87" s="2" t="inlineStr">
        <is>
          <t>Ursarctic</t>
        </is>
      </c>
      <c r="I87" s="2" t="inlineStr">
        <is>
          <t>2025-05-01</t>
        </is>
      </c>
      <c r="J87" s="2" t="inlineStr">
        <is>
          <t>/assets/cards/URSARCTIC-OCTANTIS.jpg</t>
        </is>
      </c>
      <c r="K87" s="2" t="inlineStr">
        <is>
          <t>No</t>
        </is>
      </c>
      <c r="L87" s="2" t="inlineStr">
        <is>
          <t>No</t>
        </is>
      </c>
      <c r="M87" s="2" t="inlineStr">
        <is>
          <t>No</t>
        </is>
      </c>
      <c r="N87" s="2">
        <f>IF(AND($K87="Yes",$L87="Yes",$M87="Yes"),"Yes","No")</f>
        <v/>
      </c>
      <c r="O87" s="2" t="inlineStr"/>
    </row>
    <row r="88">
      <c r="A88" s="2" t="inlineStr">
        <is>
          <t>CARD-0087</t>
        </is>
      </c>
      <c r="B88" s="2" t="inlineStr">
        <is>
          <t>URSARCTIC HEXTANIUS</t>
        </is>
      </c>
      <c r="C88" s="2" t="inlineStr">
        <is>
          <t>COOR</t>
        </is>
      </c>
      <c r="D88" s="2" t="inlineStr">
        <is>
          <t>007</t>
        </is>
      </c>
      <c r="E88" s="2" t="inlineStr">
        <is>
          <t>Cosmic Origins</t>
        </is>
      </c>
      <c r="F88" s="2" t="inlineStr">
        <is>
          <t>Monster</t>
        </is>
      </c>
      <c r="G88" s="2" t="inlineStr">
        <is>
          <t>Beast-Warrior / Effect / Synchro / Tuner</t>
        </is>
      </c>
      <c r="H88" s="2" t="inlineStr">
        <is>
          <t>Ursarctic</t>
        </is>
      </c>
      <c r="I88" s="2" t="inlineStr">
        <is>
          <t>2025-05-01</t>
        </is>
      </c>
      <c r="J88" s="2" t="inlineStr">
        <is>
          <t>/assets/cards/URSARCTIC-HEXTANIUS.jpg</t>
        </is>
      </c>
      <c r="K88" s="2" t="inlineStr">
        <is>
          <t>No</t>
        </is>
      </c>
      <c r="L88" s="2" t="inlineStr">
        <is>
          <t>No</t>
        </is>
      </c>
      <c r="M88" s="2" t="inlineStr">
        <is>
          <t>No</t>
        </is>
      </c>
      <c r="N88" s="2">
        <f>IF(AND($K88="Yes",$L88="Yes",$M88="Yes"),"Yes","No")</f>
        <v/>
      </c>
      <c r="O88" s="2" t="inlineStr"/>
    </row>
    <row r="89">
      <c r="A89" s="2" t="inlineStr">
        <is>
          <t>CARD-0088</t>
        </is>
      </c>
      <c r="B89" s="2" t="inlineStr">
        <is>
          <t>URSARCTIC NORDBAR</t>
        </is>
      </c>
      <c r="C89" s="2" t="inlineStr">
        <is>
          <t>COOR</t>
        </is>
      </c>
      <c r="D89" s="2" t="inlineStr">
        <is>
          <t>008</t>
        </is>
      </c>
      <c r="E89" s="2" t="inlineStr">
        <is>
          <t>Cosmic Origins</t>
        </is>
      </c>
      <c r="F89" s="2" t="inlineStr">
        <is>
          <t>Monster</t>
        </is>
      </c>
      <c r="G89" s="2" t="inlineStr">
        <is>
          <t>Beast-Warrior / Effect / Synchro</t>
        </is>
      </c>
      <c r="H89" s="2" t="inlineStr">
        <is>
          <t>Ursarctic</t>
        </is>
      </c>
      <c r="I89" s="2" t="inlineStr">
        <is>
          <t>2025-05-01</t>
        </is>
      </c>
      <c r="J89" s="2" t="inlineStr">
        <is>
          <t>/assets/cards/URSARCTIC-NORDBAR.jpg</t>
        </is>
      </c>
      <c r="K89" s="2" t="inlineStr">
        <is>
          <t>No</t>
        </is>
      </c>
      <c r="L89" s="2" t="inlineStr">
        <is>
          <t>No</t>
        </is>
      </c>
      <c r="M89" s="2" t="inlineStr">
        <is>
          <t>No</t>
        </is>
      </c>
      <c r="N89" s="2">
        <f>IF(AND($K89="Yes",$L89="Yes",$M89="Yes"),"Yes","No")</f>
        <v/>
      </c>
      <c r="O89" s="2" t="inlineStr"/>
    </row>
    <row r="90">
      <c r="A90" s="2" t="inlineStr">
        <is>
          <t>CARD-0089</t>
        </is>
      </c>
      <c r="B90" s="2" t="inlineStr">
        <is>
          <t>Carina of the Eldoran System</t>
        </is>
      </c>
      <c r="C90" s="2" t="inlineStr">
        <is>
          <t>COOR</t>
        </is>
      </c>
      <c r="D90" s="2" t="inlineStr">
        <is>
          <t>009</t>
        </is>
      </c>
      <c r="E90" s="2" t="inlineStr">
        <is>
          <t>Cosmic Origins</t>
        </is>
      </c>
      <c r="F90" s="2" t="inlineStr">
        <is>
          <t>Monster</t>
        </is>
      </c>
      <c r="G90" s="2" t="inlineStr">
        <is>
          <t>Warrior / Normal</t>
        </is>
      </c>
      <c r="H90" s="2" t="inlineStr">
        <is>
          <t>Galactica</t>
        </is>
      </c>
      <c r="I90" s="2" t="inlineStr">
        <is>
          <t>2025-05-01</t>
        </is>
      </c>
      <c r="J90" s="2" t="inlineStr">
        <is>
          <t>/assets/cards/Carina-of-the-eldoran-system.jpeg</t>
        </is>
      </c>
      <c r="K90" s="2" t="inlineStr">
        <is>
          <t>No</t>
        </is>
      </c>
      <c r="L90" s="2" t="inlineStr">
        <is>
          <t>No</t>
        </is>
      </c>
      <c r="M90" s="2" t="inlineStr">
        <is>
          <t>No</t>
        </is>
      </c>
      <c r="N90" s="2">
        <f>IF(AND($K90="Yes",$L90="Yes",$M90="Yes"),"Yes","No")</f>
        <v/>
      </c>
      <c r="O90" s="2" t="inlineStr"/>
    </row>
    <row r="91">
      <c r="A91" s="2" t="inlineStr">
        <is>
          <t>CARD-0090</t>
        </is>
      </c>
      <c r="B91" s="2" t="inlineStr">
        <is>
          <t>Branching to Guidance</t>
        </is>
      </c>
      <c r="C91" s="2" t="inlineStr">
        <is>
          <t>COOR</t>
        </is>
      </c>
      <c r="D91" s="2" t="inlineStr">
        <is>
          <t>0010</t>
        </is>
      </c>
      <c r="E91" s="2" t="inlineStr">
        <is>
          <t>Cosmic Origins</t>
        </is>
      </c>
      <c r="F91" s="2" t="inlineStr">
        <is>
          <t>Spell</t>
        </is>
      </c>
      <c r="G91" s="2" t="inlineStr">
        <is>
          <t>Spell / Normal</t>
        </is>
      </c>
      <c r="H91" s="2" t="inlineStr"/>
      <c r="I91" s="2" t="inlineStr">
        <is>
          <t>2025-05-01</t>
        </is>
      </c>
      <c r="J91" s="2" t="inlineStr">
        <is>
          <t>/assets/cards/BRANCHING-TO-GUIDANCE.jpeg</t>
        </is>
      </c>
      <c r="K91" s="2" t="inlineStr">
        <is>
          <t>No</t>
        </is>
      </c>
      <c r="L91" s="2" t="inlineStr">
        <is>
          <t>No</t>
        </is>
      </c>
      <c r="M91" s="2" t="inlineStr">
        <is>
          <t>No</t>
        </is>
      </c>
      <c r="N91" s="2">
        <f>IF(AND($K91="Yes",$L91="Yes",$M91="Yes"),"Yes","No")</f>
        <v/>
      </c>
      <c r="O91" s="2" t="inlineStr"/>
    </row>
    <row r="92">
      <c r="A92" s="2" t="inlineStr">
        <is>
          <t>CARD-0092</t>
        </is>
      </c>
      <c r="B92" s="2" t="inlineStr">
        <is>
          <t>Rigel the Thousand-Armed</t>
        </is>
      </c>
      <c r="C92" s="2" t="inlineStr">
        <is>
          <t>COOR</t>
        </is>
      </c>
      <c r="D92" s="2" t="inlineStr">
        <is>
          <t>0012</t>
        </is>
      </c>
      <c r="E92" s="2" t="inlineStr">
        <is>
          <t>Cosmic Origins</t>
        </is>
      </c>
      <c r="F92" s="2" t="inlineStr">
        <is>
          <t>Monster</t>
        </is>
      </c>
      <c r="G92" s="2" t="inlineStr">
        <is>
          <t>Cyberse / Effect / Link</t>
        </is>
      </c>
      <c r="H92" s="2" t="inlineStr"/>
      <c r="I92" s="2" t="inlineStr">
        <is>
          <t>2025-05-01</t>
        </is>
      </c>
      <c r="J92" s="2" t="inlineStr">
        <is>
          <t>/assets/cards/RIGEL-THE-THOUSAND-ARMED.jpeg</t>
        </is>
      </c>
      <c r="K92" s="2" t="inlineStr">
        <is>
          <t>No</t>
        </is>
      </c>
      <c r="L92" s="2" t="inlineStr">
        <is>
          <t>No</t>
        </is>
      </c>
      <c r="M92" s="2" t="inlineStr">
        <is>
          <t>No</t>
        </is>
      </c>
      <c r="N92" s="2">
        <f>IF(AND($K92="Yes",$L92="Yes",$M92="Yes"),"Yes","No")</f>
        <v/>
      </c>
      <c r="O92" s="2" t="inlineStr"/>
    </row>
    <row r="93">
      <c r="A93" s="2" t="inlineStr">
        <is>
          <t>CARD-0093</t>
        </is>
      </c>
      <c r="B93" s="2" t="inlineStr">
        <is>
          <t>Prophecy of Infernos</t>
        </is>
      </c>
      <c r="C93" s="2" t="inlineStr">
        <is>
          <t>COOR</t>
        </is>
      </c>
      <c r="D93" s="2" t="inlineStr">
        <is>
          <t>0013</t>
        </is>
      </c>
      <c r="E93" s="2" t="inlineStr">
        <is>
          <t>Cosmic Origins</t>
        </is>
      </c>
      <c r="F93" s="2" t="inlineStr">
        <is>
          <t>Monster</t>
        </is>
      </c>
      <c r="G93" s="2" t="inlineStr">
        <is>
          <t>Spellcaster / Effect</t>
        </is>
      </c>
      <c r="H93" s="2" t="inlineStr">
        <is>
          <t>Prophecy</t>
        </is>
      </c>
      <c r="I93" s="2" t="inlineStr">
        <is>
          <t>2025-05-01</t>
        </is>
      </c>
      <c r="J93" s="2" t="inlineStr">
        <is>
          <t>/assets/cards/PROPHECY-OF-INFERNOS.jpeg</t>
        </is>
      </c>
      <c r="K93" s="2" t="inlineStr">
        <is>
          <t>No</t>
        </is>
      </c>
      <c r="L93" s="2" t="inlineStr">
        <is>
          <t>No</t>
        </is>
      </c>
      <c r="M93" s="2" t="inlineStr">
        <is>
          <t>No</t>
        </is>
      </c>
      <c r="N93" s="2">
        <f>IF(AND($K93="Yes",$L93="Yes",$M93="Yes"),"Yes","No")</f>
        <v/>
      </c>
      <c r="O93" s="2" t="inlineStr"/>
    </row>
    <row r="94">
      <c r="A94" s="2" t="inlineStr">
        <is>
          <t>CARD-0094</t>
        </is>
      </c>
      <c r="B94" s="2" t="inlineStr">
        <is>
          <t>Prophecy of Waterfalls</t>
        </is>
      </c>
      <c r="C94" s="2" t="inlineStr">
        <is>
          <t>COOR</t>
        </is>
      </c>
      <c r="D94" s="2" t="inlineStr">
        <is>
          <t>0014</t>
        </is>
      </c>
      <c r="E94" s="2" t="inlineStr">
        <is>
          <t>Cosmic Origins</t>
        </is>
      </c>
      <c r="F94" s="2" t="inlineStr">
        <is>
          <t>Monster</t>
        </is>
      </c>
      <c r="G94" s="2" t="inlineStr">
        <is>
          <t>Spellcaster / Effect</t>
        </is>
      </c>
      <c r="H94" s="2" t="inlineStr">
        <is>
          <t>Prophecy</t>
        </is>
      </c>
      <c r="I94" s="2" t="inlineStr">
        <is>
          <t>2025-05-01</t>
        </is>
      </c>
      <c r="J94" s="2" t="inlineStr">
        <is>
          <t>/assets/cards/PROPHECY-OF-WATERFALLS.jpeg</t>
        </is>
      </c>
      <c r="K94" s="2" t="inlineStr">
        <is>
          <t>No</t>
        </is>
      </c>
      <c r="L94" s="2" t="inlineStr">
        <is>
          <t>No</t>
        </is>
      </c>
      <c r="M94" s="2" t="inlineStr">
        <is>
          <t>No</t>
        </is>
      </c>
      <c r="N94" s="2">
        <f>IF(AND($K94="Yes",$L94="Yes",$M94="Yes"),"Yes","No")</f>
        <v/>
      </c>
      <c r="O94" s="2" t="inlineStr"/>
    </row>
    <row r="95">
      <c r="A95" s="2" t="inlineStr">
        <is>
          <t>CARD-0095</t>
        </is>
      </c>
      <c r="B95" s="2" t="inlineStr">
        <is>
          <t>Prophecy of Boulders</t>
        </is>
      </c>
      <c r="C95" s="2" t="inlineStr">
        <is>
          <t>COOR</t>
        </is>
      </c>
      <c r="D95" s="2" t="inlineStr">
        <is>
          <t>0015</t>
        </is>
      </c>
      <c r="E95" s="2" t="inlineStr">
        <is>
          <t>Cosmic Origins</t>
        </is>
      </c>
      <c r="F95" s="2" t="inlineStr">
        <is>
          <t>Monster</t>
        </is>
      </c>
      <c r="G95" s="2" t="inlineStr">
        <is>
          <t>Spellcaster / Effect</t>
        </is>
      </c>
      <c r="H95" s="2" t="inlineStr">
        <is>
          <t>Prophecy</t>
        </is>
      </c>
      <c r="I95" s="2" t="inlineStr">
        <is>
          <t>2025-05-01</t>
        </is>
      </c>
      <c r="J95" s="2" t="inlineStr">
        <is>
          <t>/assets/cards/PROPHECY-OF-BOULDERS.jpeg</t>
        </is>
      </c>
      <c r="K95" s="2" t="inlineStr">
        <is>
          <t>No</t>
        </is>
      </c>
      <c r="L95" s="2" t="inlineStr">
        <is>
          <t>No</t>
        </is>
      </c>
      <c r="M95" s="2" t="inlineStr">
        <is>
          <t>No</t>
        </is>
      </c>
      <c r="N95" s="2">
        <f>IF(AND($K95="Yes",$L95="Yes",$M95="Yes"),"Yes","No")</f>
        <v/>
      </c>
      <c r="O95" s="2" t="inlineStr"/>
    </row>
    <row r="96">
      <c r="A96" s="2" t="inlineStr">
        <is>
          <t>CARD-0096</t>
        </is>
      </c>
      <c r="B96" s="2" t="inlineStr">
        <is>
          <t>Prophecy of Storms</t>
        </is>
      </c>
      <c r="C96" s="2" t="inlineStr">
        <is>
          <t>COOR</t>
        </is>
      </c>
      <c r="D96" s="2" t="inlineStr">
        <is>
          <t>0016</t>
        </is>
      </c>
      <c r="E96" s="2" t="inlineStr">
        <is>
          <t>Cosmic Origins</t>
        </is>
      </c>
      <c r="F96" s="2" t="inlineStr">
        <is>
          <t>Monster</t>
        </is>
      </c>
      <c r="G96" s="2" t="inlineStr">
        <is>
          <t>Spellcaster / Effect</t>
        </is>
      </c>
      <c r="H96" s="2" t="inlineStr">
        <is>
          <t>Prophecy</t>
        </is>
      </c>
      <c r="I96" s="2" t="inlineStr">
        <is>
          <t>2025-05-01</t>
        </is>
      </c>
      <c r="J96" s="2" t="inlineStr">
        <is>
          <t>/assets/cards/PROPHECY-OF-STORMS.jpeg</t>
        </is>
      </c>
      <c r="K96" s="2" t="inlineStr">
        <is>
          <t>No</t>
        </is>
      </c>
      <c r="L96" s="2" t="inlineStr">
        <is>
          <t>No</t>
        </is>
      </c>
      <c r="M96" s="2" t="inlineStr">
        <is>
          <t>No</t>
        </is>
      </c>
      <c r="N96" s="2">
        <f>IF(AND($K96="Yes",$L96="Yes",$M96="Yes"),"Yes","No")</f>
        <v/>
      </c>
      <c r="O96" s="2" t="inlineStr"/>
    </row>
    <row r="97">
      <c r="A97" s="2" t="inlineStr">
        <is>
          <t>CARD-0097</t>
        </is>
      </c>
      <c r="B97" s="2" t="inlineStr">
        <is>
          <t>Prophecy of Rays</t>
        </is>
      </c>
      <c r="C97" s="2" t="inlineStr">
        <is>
          <t>COOR</t>
        </is>
      </c>
      <c r="D97" s="2" t="inlineStr">
        <is>
          <t>0017</t>
        </is>
      </c>
      <c r="E97" s="2" t="inlineStr">
        <is>
          <t>Cosmic Origins</t>
        </is>
      </c>
      <c r="F97" s="2" t="inlineStr">
        <is>
          <t>Monster</t>
        </is>
      </c>
      <c r="G97" s="2" t="inlineStr">
        <is>
          <t>Spellcaster / Effect</t>
        </is>
      </c>
      <c r="H97" s="2" t="inlineStr">
        <is>
          <t>Prophecy</t>
        </is>
      </c>
      <c r="I97" s="2" t="inlineStr">
        <is>
          <t>2025-05-01</t>
        </is>
      </c>
      <c r="J97" s="2" t="inlineStr">
        <is>
          <t>/assets/cards/PROPHECY-OF-RAYS.jpeg</t>
        </is>
      </c>
      <c r="K97" s="2" t="inlineStr">
        <is>
          <t>No</t>
        </is>
      </c>
      <c r="L97" s="2" t="inlineStr">
        <is>
          <t>No</t>
        </is>
      </c>
      <c r="M97" s="2" t="inlineStr">
        <is>
          <t>No</t>
        </is>
      </c>
      <c r="N97" s="2">
        <f>IF(AND($K97="Yes",$L97="Yes",$M97="Yes"),"Yes","No")</f>
        <v/>
      </c>
      <c r="O97" s="2" t="inlineStr"/>
    </row>
    <row r="98">
      <c r="A98" s="2" t="inlineStr">
        <is>
          <t>CARD-0098</t>
        </is>
      </c>
      <c r="B98" s="2" t="inlineStr">
        <is>
          <t>Prophecy of Shadows</t>
        </is>
      </c>
      <c r="C98" s="2" t="inlineStr">
        <is>
          <t>COOR</t>
        </is>
      </c>
      <c r="D98" s="2" t="inlineStr">
        <is>
          <t>0018</t>
        </is>
      </c>
      <c r="E98" s="2" t="inlineStr">
        <is>
          <t>Cosmic Origins</t>
        </is>
      </c>
      <c r="F98" s="2" t="inlineStr">
        <is>
          <t>Monster</t>
        </is>
      </c>
      <c r="G98" s="2" t="inlineStr">
        <is>
          <t>Spellcaster / Effect</t>
        </is>
      </c>
      <c r="H98" s="2" t="inlineStr">
        <is>
          <t>Prophecy</t>
        </is>
      </c>
      <c r="I98" s="2" t="inlineStr">
        <is>
          <t>2025-05-01</t>
        </is>
      </c>
      <c r="J98" s="2" t="inlineStr">
        <is>
          <t>/assets/cards/PROPHECY-OF-SHADOWS.jpeg</t>
        </is>
      </c>
      <c r="K98" s="2" t="inlineStr">
        <is>
          <t>No</t>
        </is>
      </c>
      <c r="L98" s="2" t="inlineStr">
        <is>
          <t>No</t>
        </is>
      </c>
      <c r="M98" s="2" t="inlineStr">
        <is>
          <t>No</t>
        </is>
      </c>
      <c r="N98" s="2">
        <f>IF(AND($K98="Yes",$L98="Yes",$M98="Yes"),"Yes","No")</f>
        <v/>
      </c>
      <c r="O98" s="2" t="inlineStr"/>
    </row>
    <row r="99">
      <c r="A99" s="2" t="inlineStr">
        <is>
          <t>CARD-0099</t>
        </is>
      </c>
      <c r="B99" s="2" t="inlineStr">
        <is>
          <t>Stellaer of the Swamp</t>
        </is>
      </c>
      <c r="C99" s="2" t="inlineStr">
        <is>
          <t>COOR</t>
        </is>
      </c>
      <c r="D99" s="2" t="inlineStr">
        <is>
          <t>019</t>
        </is>
      </c>
      <c r="E99" s="2" t="inlineStr">
        <is>
          <t>Cosmic Origins</t>
        </is>
      </c>
      <c r="F99" s="2" t="inlineStr">
        <is>
          <t>Monster</t>
        </is>
      </c>
      <c r="G99" s="2" t="inlineStr">
        <is>
          <t>Dragon / Xyz / Effect</t>
        </is>
      </c>
      <c r="H99" s="2" t="inlineStr">
        <is>
          <t>Stellaer</t>
        </is>
      </c>
      <c r="I99" s="2" t="inlineStr">
        <is>
          <t>2025-05-01</t>
        </is>
      </c>
      <c r="J99" s="2" t="inlineStr">
        <is>
          <t>/assets/cards/Stellaer-of-the-Swamp.png</t>
        </is>
      </c>
      <c r="K99" s="2" t="inlineStr">
        <is>
          <t>No</t>
        </is>
      </c>
      <c r="L99" s="2" t="inlineStr">
        <is>
          <t>No</t>
        </is>
      </c>
      <c r="M99" s="2" t="inlineStr">
        <is>
          <t>No</t>
        </is>
      </c>
      <c r="N99" s="2">
        <f>IF(AND($K99="Yes",$L99="Yes",$M99="Yes"),"Yes","No")</f>
        <v/>
      </c>
      <c r="O99" s="2" t="inlineStr"/>
    </row>
    <row r="100">
      <c r="A100" s="2" t="inlineStr">
        <is>
          <t>CARD-0100</t>
        </is>
      </c>
      <c r="B100" s="2" t="inlineStr">
        <is>
          <t>Sustained Succubus Saria</t>
        </is>
      </c>
      <c r="C100" s="2" t="inlineStr">
        <is>
          <t>COOR</t>
        </is>
      </c>
      <c r="D100" s="2" t="inlineStr">
        <is>
          <t>0020</t>
        </is>
      </c>
      <c r="E100" s="2" t="inlineStr">
        <is>
          <t>Cosmic Origins</t>
        </is>
      </c>
      <c r="F100" s="2" t="inlineStr">
        <is>
          <t>Monster</t>
        </is>
      </c>
      <c r="G100" s="2" t="inlineStr">
        <is>
          <t>Zombie / Fusion / Effect</t>
        </is>
      </c>
      <c r="H100" s="2" t="inlineStr">
        <is>
          <t>Stain</t>
        </is>
      </c>
      <c r="I100" s="2" t="inlineStr">
        <is>
          <t>2025-05-01</t>
        </is>
      </c>
      <c r="J100" s="2" t="inlineStr">
        <is>
          <t>/assets/cards/Sustained-Succubus-Saria.jpeg</t>
        </is>
      </c>
      <c r="K100" s="2" t="inlineStr">
        <is>
          <t>No</t>
        </is>
      </c>
      <c r="L100" s="2" t="inlineStr">
        <is>
          <t>No</t>
        </is>
      </c>
      <c r="M100" s="2" t="inlineStr">
        <is>
          <t>No</t>
        </is>
      </c>
      <c r="N100" s="2">
        <f>IF(AND($K100="Yes",$L100="Yes",$M100="Yes"),"Yes","No")</f>
        <v/>
      </c>
      <c r="O100" s="2" t="inlineStr"/>
    </row>
    <row r="101">
      <c r="A101" s="2" t="inlineStr">
        <is>
          <t>CARD-0101</t>
        </is>
      </c>
      <c r="B101" s="2" t="inlineStr">
        <is>
          <t>A Stainless Story</t>
        </is>
      </c>
      <c r="C101" s="2" t="inlineStr">
        <is>
          <t>COOR</t>
        </is>
      </c>
      <c r="D101" s="2" t="inlineStr">
        <is>
          <t>0021</t>
        </is>
      </c>
      <c r="E101" s="2" t="inlineStr">
        <is>
          <t>Cosmic Origins</t>
        </is>
      </c>
      <c r="F101" s="2" t="inlineStr">
        <is>
          <t>Spell</t>
        </is>
      </c>
      <c r="G101" s="2" t="inlineStr">
        <is>
          <t>Spell / Quick-Play</t>
        </is>
      </c>
      <c r="H101" s="2" t="inlineStr">
        <is>
          <t>Stain</t>
        </is>
      </c>
      <c r="I101" s="2" t="inlineStr">
        <is>
          <t>2025-05-01</t>
        </is>
      </c>
      <c r="J101" s="2" t="inlineStr">
        <is>
          <t>/assets/cards/A-Stainless-Story.jpeg</t>
        </is>
      </c>
      <c r="K101" s="2" t="inlineStr">
        <is>
          <t>No</t>
        </is>
      </c>
      <c r="L101" s="2" t="inlineStr">
        <is>
          <t>No</t>
        </is>
      </c>
      <c r="M101" s="2" t="inlineStr">
        <is>
          <t>No</t>
        </is>
      </c>
      <c r="N101" s="2">
        <f>IF(AND($K101="Yes",$L101="Yes",$M101="Yes"),"Yes","No")</f>
        <v/>
      </c>
      <c r="O101" s="2" t="inlineStr"/>
    </row>
    <row r="102">
      <c r="A102" s="2" t="inlineStr">
        <is>
          <t>CARD-0102</t>
        </is>
      </c>
      <c r="B102" s="2" t="inlineStr">
        <is>
          <t>Mylo, the Domesticated</t>
        </is>
      </c>
      <c r="C102" s="2" t="inlineStr">
        <is>
          <t>COOR</t>
        </is>
      </c>
      <c r="D102" s="2" t="inlineStr">
        <is>
          <t>022</t>
        </is>
      </c>
      <c r="E102" s="2" t="inlineStr">
        <is>
          <t>Cosmic Origins</t>
        </is>
      </c>
      <c r="F102" s="2" t="inlineStr">
        <is>
          <t>Monster</t>
        </is>
      </c>
      <c r="G102" s="2" t="inlineStr">
        <is>
          <t>Beast / Effect</t>
        </is>
      </c>
      <c r="H102" s="2" t="inlineStr">
        <is>
          <t>Domestica</t>
        </is>
      </c>
      <c r="I102" s="2" t="inlineStr">
        <is>
          <t>2025-05-01</t>
        </is>
      </c>
      <c r="J102" s="2" t="inlineStr">
        <is>
          <t>/assets/cards/Mylo-the-Domesticated.png</t>
        </is>
      </c>
      <c r="K102" s="2" t="inlineStr">
        <is>
          <t>No</t>
        </is>
      </c>
      <c r="L102" s="2" t="inlineStr">
        <is>
          <t>No</t>
        </is>
      </c>
      <c r="M102" s="2" t="inlineStr">
        <is>
          <t>No</t>
        </is>
      </c>
      <c r="N102" s="2">
        <f>IF(AND($K102="Yes",$L102="Yes",$M102="Yes"),"Yes","No")</f>
        <v/>
      </c>
      <c r="O102" s="2" t="inlineStr"/>
    </row>
    <row r="103">
      <c r="A103" s="2" t="inlineStr">
        <is>
          <t>CARD-0103</t>
        </is>
      </c>
      <c r="B103" s="2" t="inlineStr">
        <is>
          <t>Nuwa, the Domesticated</t>
        </is>
      </c>
      <c r="C103" s="2" t="inlineStr">
        <is>
          <t>COOR</t>
        </is>
      </c>
      <c r="D103" s="2" t="inlineStr">
        <is>
          <t>023</t>
        </is>
      </c>
      <c r="E103" s="2" t="inlineStr">
        <is>
          <t>Cosmic Origins</t>
        </is>
      </c>
      <c r="F103" s="2" t="inlineStr">
        <is>
          <t>Monster</t>
        </is>
      </c>
      <c r="G103" s="2" t="inlineStr">
        <is>
          <t>Beast / Effect</t>
        </is>
      </c>
      <c r="H103" s="2" t="inlineStr">
        <is>
          <t>Domestica</t>
        </is>
      </c>
      <c r="I103" s="2" t="inlineStr">
        <is>
          <t>2025-05-01</t>
        </is>
      </c>
      <c r="J103" s="2" t="inlineStr">
        <is>
          <t>/assets/cards/Nuwa-the-Domesticated.png</t>
        </is>
      </c>
      <c r="K103" s="2" t="inlineStr">
        <is>
          <t>No</t>
        </is>
      </c>
      <c r="L103" s="2" t="inlineStr">
        <is>
          <t>No</t>
        </is>
      </c>
      <c r="M103" s="2" t="inlineStr">
        <is>
          <t>No</t>
        </is>
      </c>
      <c r="N103" s="2">
        <f>IF(AND($K103="Yes",$L103="Yes",$M103="Yes"),"Yes","No")</f>
        <v/>
      </c>
      <c r="O103" s="2" t="inlineStr"/>
    </row>
    <row r="104">
      <c r="A104" s="2" t="inlineStr">
        <is>
          <t>CARD-0104</t>
        </is>
      </c>
      <c r="B104" s="2" t="inlineStr">
        <is>
          <t>Mylo in the Wild</t>
        </is>
      </c>
      <c r="C104" s="2" t="inlineStr">
        <is>
          <t>COOR</t>
        </is>
      </c>
      <c r="D104" s="2" t="inlineStr">
        <is>
          <t>024</t>
        </is>
      </c>
      <c r="E104" s="2" t="inlineStr">
        <is>
          <t>Cosmic Origins</t>
        </is>
      </c>
      <c r="F104" s="2" t="inlineStr">
        <is>
          <t>Monster</t>
        </is>
      </c>
      <c r="G104" s="2" t="inlineStr">
        <is>
          <t>Beast / Fusion / Effect</t>
        </is>
      </c>
      <c r="H104" s="2" t="inlineStr">
        <is>
          <t>Domestica</t>
        </is>
      </c>
      <c r="I104" s="2" t="inlineStr">
        <is>
          <t>2025-05-01</t>
        </is>
      </c>
      <c r="J104" s="2" t="inlineStr">
        <is>
          <t>/assets/cards/Mylo-in-the-Wild.png</t>
        </is>
      </c>
      <c r="K104" s="2" t="inlineStr">
        <is>
          <t>No</t>
        </is>
      </c>
      <c r="L104" s="2" t="inlineStr">
        <is>
          <t>No</t>
        </is>
      </c>
      <c r="M104" s="2" t="inlineStr">
        <is>
          <t>No</t>
        </is>
      </c>
      <c r="N104" s="2">
        <f>IF(AND($K104="Yes",$L104="Yes",$M104="Yes"),"Yes","No")</f>
        <v/>
      </c>
      <c r="O104" s="2" t="inlineStr"/>
    </row>
    <row r="105">
      <c r="A105" s="2" t="inlineStr">
        <is>
          <t>CARD-0105</t>
        </is>
      </c>
      <c r="B105" s="2" t="inlineStr">
        <is>
          <t>Nuwa in the Wild</t>
        </is>
      </c>
      <c r="C105" s="2" t="inlineStr">
        <is>
          <t>COOR</t>
        </is>
      </c>
      <c r="D105" s="2" t="inlineStr">
        <is>
          <t>025</t>
        </is>
      </c>
      <c r="E105" s="2" t="inlineStr">
        <is>
          <t>Cosmic Origins</t>
        </is>
      </c>
      <c r="F105" s="2" t="inlineStr">
        <is>
          <t>Monster</t>
        </is>
      </c>
      <c r="G105" s="2" t="inlineStr">
        <is>
          <t>Beast / Fusion / Effect</t>
        </is>
      </c>
      <c r="H105" s="2" t="inlineStr">
        <is>
          <t>Domestica</t>
        </is>
      </c>
      <c r="I105" s="2" t="inlineStr">
        <is>
          <t>2025-05-01</t>
        </is>
      </c>
      <c r="J105" s="2" t="inlineStr">
        <is>
          <t>/assets/cards/Nuwa-in-the-Wild.png</t>
        </is>
      </c>
      <c r="K105" s="2" t="inlineStr">
        <is>
          <t>No</t>
        </is>
      </c>
      <c r="L105" s="2" t="inlineStr">
        <is>
          <t>No</t>
        </is>
      </c>
      <c r="M105" s="2" t="inlineStr">
        <is>
          <t>No</t>
        </is>
      </c>
      <c r="N105" s="2">
        <f>IF(AND($K105="Yes",$L105="Yes",$M105="Yes"),"Yes","No")</f>
        <v/>
      </c>
      <c r="O105" s="2" t="inlineStr"/>
    </row>
    <row r="106">
      <c r="A106" s="2" t="inlineStr">
        <is>
          <t>CARD-0106</t>
        </is>
      </c>
      <c r="B106" s="2" t="inlineStr">
        <is>
          <t>ONIBI</t>
        </is>
      </c>
      <c r="C106" s="2" t="inlineStr">
        <is>
          <t>COOR</t>
        </is>
      </c>
      <c r="D106" s="2" t="inlineStr">
        <is>
          <t>026</t>
        </is>
      </c>
      <c r="E106" s="2" t="inlineStr">
        <is>
          <t>Cosmic Origins</t>
        </is>
      </c>
      <c r="F106" s="2" t="inlineStr">
        <is>
          <t>Monster</t>
        </is>
      </c>
      <c r="G106" s="2" t="inlineStr">
        <is>
          <t>Fairy / Effect / Spirit</t>
        </is>
      </c>
      <c r="H106" s="2" t="inlineStr">
        <is>
          <t>Spirit</t>
        </is>
      </c>
      <c r="I106" s="2" t="inlineStr">
        <is>
          <t>2025-05-01</t>
        </is>
      </c>
      <c r="J106" s="2" t="inlineStr">
        <is>
          <t>/assets/cards/ONIBI.jpg</t>
        </is>
      </c>
      <c r="K106" s="2" t="inlineStr">
        <is>
          <t>No</t>
        </is>
      </c>
      <c r="L106" s="2" t="inlineStr">
        <is>
          <t>No</t>
        </is>
      </c>
      <c r="M106" s="2" t="inlineStr">
        <is>
          <t>No</t>
        </is>
      </c>
      <c r="N106" s="2">
        <f>IF(AND($K106="Yes",$L106="Yes",$M106="Yes"),"Yes","No")</f>
        <v/>
      </c>
      <c r="O106" s="2" t="inlineStr"/>
    </row>
    <row r="107">
      <c r="A107" s="2" t="inlineStr">
        <is>
          <t>CARD-0107</t>
        </is>
      </c>
      <c r="B107" s="2" t="inlineStr">
        <is>
          <t>ENRA</t>
        </is>
      </c>
      <c r="C107" s="2" t="inlineStr">
        <is>
          <t>COOR</t>
        </is>
      </c>
      <c r="D107" s="2" t="inlineStr">
        <is>
          <t>027</t>
        </is>
      </c>
      <c r="E107" s="2" t="inlineStr">
        <is>
          <t>Cosmic Origins</t>
        </is>
      </c>
      <c r="F107" s="2" t="inlineStr">
        <is>
          <t>Monster</t>
        </is>
      </c>
      <c r="G107" s="2" t="inlineStr">
        <is>
          <t>Fiend / Effect / Spirit</t>
        </is>
      </c>
      <c r="H107" s="2" t="inlineStr">
        <is>
          <t>Spirit</t>
        </is>
      </c>
      <c r="I107" s="2" t="inlineStr">
        <is>
          <t>2025-05-01</t>
        </is>
      </c>
      <c r="J107" s="2" t="inlineStr">
        <is>
          <t>/assets/cards/ENRA.jpg</t>
        </is>
      </c>
      <c r="K107" s="2" t="inlineStr">
        <is>
          <t>No</t>
        </is>
      </c>
      <c r="L107" s="2" t="inlineStr">
        <is>
          <t>No</t>
        </is>
      </c>
      <c r="M107" s="2" t="inlineStr">
        <is>
          <t>No</t>
        </is>
      </c>
      <c r="N107" s="2">
        <f>IF(AND($K107="Yes",$L107="Yes",$M107="Yes"),"Yes","No")</f>
        <v/>
      </c>
      <c r="O107" s="2" t="inlineStr"/>
    </row>
    <row r="108">
      <c r="A108" s="2" t="inlineStr">
        <is>
          <t>CARD-0108</t>
        </is>
      </c>
      <c r="B108" s="2" t="inlineStr">
        <is>
          <t>KOKESHISA</t>
        </is>
      </c>
      <c r="C108" s="2" t="inlineStr">
        <is>
          <t>COOR</t>
        </is>
      </c>
      <c r="D108" s="2" t="inlineStr">
        <is>
          <t>028</t>
        </is>
      </c>
      <c r="E108" s="2" t="inlineStr">
        <is>
          <t>Cosmic Origins</t>
        </is>
      </c>
      <c r="F108" s="2" t="inlineStr">
        <is>
          <t>Monster</t>
        </is>
      </c>
      <c r="G108" s="2" t="inlineStr">
        <is>
          <t>Fiend / Effect / Spirit</t>
        </is>
      </c>
      <c r="H108" s="2" t="inlineStr">
        <is>
          <t>Spirit</t>
        </is>
      </c>
      <c r="I108" s="2" t="inlineStr">
        <is>
          <t>2025-05-01</t>
        </is>
      </c>
      <c r="J108" s="2" t="inlineStr">
        <is>
          <t>/assets/cards/KOKESHISA.jpg</t>
        </is>
      </c>
      <c r="K108" s="2" t="inlineStr">
        <is>
          <t>No</t>
        </is>
      </c>
      <c r="L108" s="2" t="inlineStr">
        <is>
          <t>No</t>
        </is>
      </c>
      <c r="M108" s="2" t="inlineStr">
        <is>
          <t>No</t>
        </is>
      </c>
      <c r="N108" s="2">
        <f>IF(AND($K108="Yes",$L108="Yes",$M108="Yes"),"Yes","No")</f>
        <v/>
      </c>
      <c r="O108" s="2" t="inlineStr"/>
    </row>
    <row r="109">
      <c r="A109" s="2" t="inlineStr">
        <is>
          <t>CARD-0109</t>
        </is>
      </c>
      <c r="B109" s="2" t="inlineStr">
        <is>
          <t>SHISHI</t>
        </is>
      </c>
      <c r="C109" s="2" t="inlineStr">
        <is>
          <t>COOR</t>
        </is>
      </c>
      <c r="D109" s="2" t="inlineStr">
        <is>
          <t>029</t>
        </is>
      </c>
      <c r="E109" s="2" t="inlineStr">
        <is>
          <t>Cosmic Origins</t>
        </is>
      </c>
      <c r="F109" s="2" t="inlineStr">
        <is>
          <t>Monster</t>
        </is>
      </c>
      <c r="G109" s="2" t="inlineStr">
        <is>
          <t>Fairy / Effect / Tuner / Spirit</t>
        </is>
      </c>
      <c r="H109" s="2" t="inlineStr">
        <is>
          <t>Spirit</t>
        </is>
      </c>
      <c r="I109" s="2" t="inlineStr">
        <is>
          <t>2025-05-01</t>
        </is>
      </c>
      <c r="J109" s="2" t="inlineStr">
        <is>
          <t>/assets/cards/SHISHI.jpg</t>
        </is>
      </c>
      <c r="K109" s="2" t="inlineStr">
        <is>
          <t>No</t>
        </is>
      </c>
      <c r="L109" s="2" t="inlineStr">
        <is>
          <t>No</t>
        </is>
      </c>
      <c r="M109" s="2" t="inlineStr">
        <is>
          <t>No</t>
        </is>
      </c>
      <c r="N109" s="2">
        <f>IF(AND($K109="Yes",$L109="Yes",$M109="Yes"),"Yes","No")</f>
        <v/>
      </c>
      <c r="O109" s="2" t="inlineStr"/>
    </row>
    <row r="110">
      <c r="A110" s="2" t="inlineStr">
        <is>
          <t>CARD-0110</t>
        </is>
      </c>
      <c r="B110" s="2" t="inlineStr">
        <is>
          <t>MURAMASA</t>
        </is>
      </c>
      <c r="C110" s="2" t="inlineStr">
        <is>
          <t>COOR</t>
        </is>
      </c>
      <c r="D110" s="2" t="inlineStr">
        <is>
          <t>030</t>
        </is>
      </c>
      <c r="E110" s="2" t="inlineStr">
        <is>
          <t>Cosmic Origins</t>
        </is>
      </c>
      <c r="F110" s="2" t="inlineStr">
        <is>
          <t>Monster</t>
        </is>
      </c>
      <c r="G110" s="2" t="inlineStr">
        <is>
          <t>Fiend / Effect / Spirit</t>
        </is>
      </c>
      <c r="H110" s="2" t="inlineStr">
        <is>
          <t>Spirit</t>
        </is>
      </c>
      <c r="I110" s="2" t="inlineStr">
        <is>
          <t>2025-05-01</t>
        </is>
      </c>
      <c r="J110" s="2" t="inlineStr">
        <is>
          <t>/assets/cards/MURAMASA.jpg</t>
        </is>
      </c>
      <c r="K110" s="2" t="inlineStr">
        <is>
          <t>No</t>
        </is>
      </c>
      <c r="L110" s="2" t="inlineStr">
        <is>
          <t>No</t>
        </is>
      </c>
      <c r="M110" s="2" t="inlineStr">
        <is>
          <t>No</t>
        </is>
      </c>
      <c r="N110" s="2">
        <f>IF(AND($K110="Yes",$L110="Yes",$M110="Yes"),"Yes","No")</f>
        <v/>
      </c>
      <c r="O110" s="2" t="inlineStr"/>
    </row>
    <row r="111">
      <c r="A111" s="2" t="inlineStr">
        <is>
          <t>CARD-0111</t>
        </is>
      </c>
      <c r="B111" s="2" t="inlineStr">
        <is>
          <t>KANMURIYAMA</t>
        </is>
      </c>
      <c r="C111" s="2" t="inlineStr">
        <is>
          <t>COOR</t>
        </is>
      </c>
      <c r="D111" s="2" t="inlineStr">
        <is>
          <t>031</t>
        </is>
      </c>
      <c r="E111" s="2" t="inlineStr">
        <is>
          <t>Cosmic Origins</t>
        </is>
      </c>
      <c r="F111" s="2" t="inlineStr">
        <is>
          <t>Spell</t>
        </is>
      </c>
      <c r="G111" s="2" t="inlineStr">
        <is>
          <t>Spell / Equip</t>
        </is>
      </c>
      <c r="H111" s="2" t="inlineStr">
        <is>
          <t>Spirit</t>
        </is>
      </c>
      <c r="I111" s="2" t="inlineStr">
        <is>
          <t>2025-05-01</t>
        </is>
      </c>
      <c r="J111" s="2" t="inlineStr">
        <is>
          <t>/assets/cards/KANMURIYAMA.jpg</t>
        </is>
      </c>
      <c r="K111" s="2" t="inlineStr">
        <is>
          <t>No</t>
        </is>
      </c>
      <c r="L111" s="2" t="inlineStr">
        <is>
          <t>No</t>
        </is>
      </c>
      <c r="M111" s="2" t="inlineStr">
        <is>
          <t>No</t>
        </is>
      </c>
      <c r="N111" s="2">
        <f>IF(AND($K111="Yes",$L111="Yes",$M111="Yes"),"Yes","No")</f>
        <v/>
      </c>
      <c r="O111" s="2" t="inlineStr"/>
    </row>
    <row r="112">
      <c r="A112" s="2" t="inlineStr">
        <is>
          <t>CARD-0112</t>
        </is>
      </c>
      <c r="B112" s="2" t="inlineStr">
        <is>
          <t>TAKAMA NO HARA</t>
        </is>
      </c>
      <c r="C112" s="2" t="inlineStr">
        <is>
          <t>COOR</t>
        </is>
      </c>
      <c r="D112" s="2" t="inlineStr">
        <is>
          <t>032</t>
        </is>
      </c>
      <c r="E112" s="2" t="inlineStr">
        <is>
          <t>Cosmic Origins</t>
        </is>
      </c>
      <c r="F112" s="2" t="inlineStr">
        <is>
          <t>Spell</t>
        </is>
      </c>
      <c r="G112" s="2" t="inlineStr">
        <is>
          <t>Spell / Normal</t>
        </is>
      </c>
      <c r="H112" s="2" t="inlineStr">
        <is>
          <t>Spirit</t>
        </is>
      </c>
      <c r="I112" s="2" t="inlineStr">
        <is>
          <t>2025-05-01</t>
        </is>
      </c>
      <c r="J112" s="2" t="inlineStr">
        <is>
          <t>/assets/cards/TAKAMA-NO-HARA.jpg</t>
        </is>
      </c>
      <c r="K112" s="2" t="inlineStr">
        <is>
          <t>No</t>
        </is>
      </c>
      <c r="L112" s="2" t="inlineStr">
        <is>
          <t>No</t>
        </is>
      </c>
      <c r="M112" s="2" t="inlineStr">
        <is>
          <t>No</t>
        </is>
      </c>
      <c r="N112" s="2">
        <f>IF(AND($K112="Yes",$L112="Yes",$M112="Yes"),"Yes","No")</f>
        <v/>
      </c>
      <c r="O112" s="2" t="inlineStr"/>
    </row>
    <row r="113">
      <c r="A113" s="2" t="inlineStr">
        <is>
          <t>CARD-0113</t>
        </is>
      </c>
      <c r="B113" s="2" t="inlineStr">
        <is>
          <t>Rei-Tachi Ga Kita Hi</t>
        </is>
      </c>
      <c r="C113" s="2" t="inlineStr">
        <is>
          <t>COOR</t>
        </is>
      </c>
      <c r="D113" s="2" t="inlineStr">
        <is>
          <t>0033</t>
        </is>
      </c>
      <c r="E113" s="2" t="inlineStr">
        <is>
          <t>Cosmic Origins</t>
        </is>
      </c>
      <c r="F113" s="2" t="inlineStr">
        <is>
          <t>Spell</t>
        </is>
      </c>
      <c r="G113" s="2" t="inlineStr">
        <is>
          <t>Spell / Continuous</t>
        </is>
      </c>
      <c r="H113" s="2" t="inlineStr"/>
      <c r="I113" s="2" t="inlineStr">
        <is>
          <t>2025-05-01</t>
        </is>
      </c>
      <c r="J113" s="2" t="inlineStr">
        <is>
          <t>/assets/cards/REI---TACHI-GA-KITA-HI.jpeg</t>
        </is>
      </c>
      <c r="K113" s="2" t="inlineStr">
        <is>
          <t>No</t>
        </is>
      </c>
      <c r="L113" s="2" t="inlineStr">
        <is>
          <t>No</t>
        </is>
      </c>
      <c r="M113" s="2" t="inlineStr">
        <is>
          <t>No</t>
        </is>
      </c>
      <c r="N113" s="2">
        <f>IF(AND($K113="Yes",$L113="Yes",$M113="Yes"),"Yes","No")</f>
        <v/>
      </c>
      <c r="O113" s="2" t="inlineStr"/>
    </row>
    <row r="114">
      <c r="A114" s="2" t="inlineStr">
        <is>
          <t>CARD-0114</t>
        </is>
      </c>
      <c r="B114" s="2" t="inlineStr">
        <is>
          <t>OTAKEMARU THE ACCUSER</t>
        </is>
      </c>
      <c r="C114" s="2" t="inlineStr">
        <is>
          <t>COOR</t>
        </is>
      </c>
      <c r="D114" s="2" t="inlineStr">
        <is>
          <t>034</t>
        </is>
      </c>
      <c r="E114" s="2" t="inlineStr">
        <is>
          <t>Cosmic Origins</t>
        </is>
      </c>
      <c r="F114" s="2" t="inlineStr">
        <is>
          <t>Monster</t>
        </is>
      </c>
      <c r="G114" s="2" t="inlineStr">
        <is>
          <t>Fiend / Effect / Synchro / Spirit</t>
        </is>
      </c>
      <c r="H114" s="2" t="inlineStr">
        <is>
          <t>Spirit</t>
        </is>
      </c>
      <c r="I114" s="2" t="inlineStr">
        <is>
          <t>2025-05-01</t>
        </is>
      </c>
      <c r="J114" s="2" t="inlineStr">
        <is>
          <t>/assets/cards/OTAKEMARU-THE-ACCUSER.jpg</t>
        </is>
      </c>
      <c r="K114" s="2" t="inlineStr">
        <is>
          <t>No</t>
        </is>
      </c>
      <c r="L114" s="2" t="inlineStr">
        <is>
          <t>No</t>
        </is>
      </c>
      <c r="M114" s="2" t="inlineStr">
        <is>
          <t>No</t>
        </is>
      </c>
      <c r="N114" s="2">
        <f>IF(AND($K114="Yes",$L114="Yes",$M114="Yes"),"Yes","No")</f>
        <v/>
      </c>
      <c r="O114" s="2" t="inlineStr"/>
    </row>
    <row r="115">
      <c r="A115" s="2" t="inlineStr">
        <is>
          <t>CARD-0115</t>
        </is>
      </c>
      <c r="B115" s="2" t="inlineStr">
        <is>
          <t>CHAMPION OF THE GRAND BLUE</t>
        </is>
      </c>
      <c r="C115" s="2" t="inlineStr">
        <is>
          <t>COOR</t>
        </is>
      </c>
      <c r="D115" s="2" t="inlineStr">
        <is>
          <t>035</t>
        </is>
      </c>
      <c r="E115" s="2" t="inlineStr">
        <is>
          <t>Cosmic Origins</t>
        </is>
      </c>
      <c r="F115" s="2" t="inlineStr">
        <is>
          <t>Monster</t>
        </is>
      </c>
      <c r="G115" s="2" t="inlineStr">
        <is>
          <t>Warrior / Effect</t>
        </is>
      </c>
      <c r="H115" s="2" t="inlineStr">
        <is>
          <t>Grand Blue</t>
        </is>
      </c>
      <c r="I115" s="2" t="inlineStr">
        <is>
          <t>2025-05-01</t>
        </is>
      </c>
      <c r="J115" s="2" t="inlineStr">
        <is>
          <t>/assets/cards/CHAMPION-OF-THE-GRAND-BLUE.jpg</t>
        </is>
      </c>
      <c r="K115" s="2" t="inlineStr">
        <is>
          <t>No</t>
        </is>
      </c>
      <c r="L115" s="2" t="inlineStr">
        <is>
          <t>No</t>
        </is>
      </c>
      <c r="M115" s="2" t="inlineStr">
        <is>
          <t>No</t>
        </is>
      </c>
      <c r="N115" s="2">
        <f>IF(AND($K115="Yes",$L115="Yes",$M115="Yes"),"Yes","No")</f>
        <v/>
      </c>
      <c r="O115" s="2" t="inlineStr"/>
    </row>
    <row r="116">
      <c r="A116" s="2" t="inlineStr">
        <is>
          <t>CARD-0116</t>
        </is>
      </c>
      <c r="B116" s="2" t="inlineStr">
        <is>
          <t>DIVING DAUGHTERS OF THE GRAND BLUE</t>
        </is>
      </c>
      <c r="C116" s="2" t="inlineStr">
        <is>
          <t>COOR</t>
        </is>
      </c>
      <c r="D116" s="2" t="inlineStr">
        <is>
          <t>036</t>
        </is>
      </c>
      <c r="E116" s="2" t="inlineStr">
        <is>
          <t>Cosmic Origins</t>
        </is>
      </c>
      <c r="F116" s="2" t="inlineStr">
        <is>
          <t>Monster</t>
        </is>
      </c>
      <c r="G116" s="2" t="inlineStr">
        <is>
          <t>Aqua / Effect</t>
        </is>
      </c>
      <c r="H116" s="2" t="inlineStr">
        <is>
          <t>Grand Blue</t>
        </is>
      </c>
      <c r="I116" s="2" t="inlineStr">
        <is>
          <t>2025-05-01</t>
        </is>
      </c>
      <c r="J116" s="2" t="inlineStr">
        <is>
          <t>/assets/cards/DIVING-DAUGHTERS-OF-THE-GRAND-BLUE.jpg</t>
        </is>
      </c>
      <c r="K116" s="2" t="inlineStr">
        <is>
          <t>No</t>
        </is>
      </c>
      <c r="L116" s="2" t="inlineStr">
        <is>
          <t>No</t>
        </is>
      </c>
      <c r="M116" s="2" t="inlineStr">
        <is>
          <t>No</t>
        </is>
      </c>
      <c r="N116" s="2">
        <f>IF(AND($K116="Yes",$L116="Yes",$M116="Yes"),"Yes","No")</f>
        <v/>
      </c>
      <c r="O116" s="2" t="inlineStr"/>
    </row>
    <row r="117">
      <c r="A117" s="2" t="inlineStr">
        <is>
          <t>CARD-0117</t>
        </is>
      </c>
      <c r="B117" s="2" t="inlineStr">
        <is>
          <t>SERENE MERMAID OF THE GRAND BLUE</t>
        </is>
      </c>
      <c r="C117" s="2" t="inlineStr">
        <is>
          <t>COOR</t>
        </is>
      </c>
      <c r="D117" s="2" t="inlineStr">
        <is>
          <t>037</t>
        </is>
      </c>
      <c r="E117" s="2" t="inlineStr">
        <is>
          <t>Cosmic Origins</t>
        </is>
      </c>
      <c r="F117" s="2" t="inlineStr">
        <is>
          <t>Monster</t>
        </is>
      </c>
      <c r="G117" s="2" t="inlineStr">
        <is>
          <t>Sea Serpent / Effect</t>
        </is>
      </c>
      <c r="H117" s="2" t="inlineStr">
        <is>
          <t>Grand Blue</t>
        </is>
      </c>
      <c r="I117" s="2" t="inlineStr">
        <is>
          <t>2025-05-01</t>
        </is>
      </c>
      <c r="J117" s="2" t="inlineStr">
        <is>
          <t>/assets/cards/SERENE-MERMAID-OF-THE-GRAND-BLUE.jpg</t>
        </is>
      </c>
      <c r="K117" s="2" t="inlineStr">
        <is>
          <t>No</t>
        </is>
      </c>
      <c r="L117" s="2" t="inlineStr">
        <is>
          <t>No</t>
        </is>
      </c>
      <c r="M117" s="2" t="inlineStr">
        <is>
          <t>No</t>
        </is>
      </c>
      <c r="N117" s="2">
        <f>IF(AND($K117="Yes",$L117="Yes",$M117="Yes"),"Yes","No")</f>
        <v/>
      </c>
      <c r="O117" s="2" t="inlineStr"/>
    </row>
    <row r="118">
      <c r="A118" s="2" t="inlineStr">
        <is>
          <t>CARD-0118</t>
        </is>
      </c>
      <c r="B118" s="2" t="inlineStr">
        <is>
          <t>JELLY LASS OF THE GRAND BLUE</t>
        </is>
      </c>
      <c r="C118" s="2" t="inlineStr">
        <is>
          <t>COOR</t>
        </is>
      </c>
      <c r="D118" s="2" t="inlineStr">
        <is>
          <t>038</t>
        </is>
      </c>
      <c r="E118" s="2" t="inlineStr">
        <is>
          <t>Cosmic Origins</t>
        </is>
      </c>
      <c r="F118" s="2" t="inlineStr">
        <is>
          <t>Monster</t>
        </is>
      </c>
      <c r="G118" s="2" t="inlineStr">
        <is>
          <t>Fish / Effect</t>
        </is>
      </c>
      <c r="H118" s="2" t="inlineStr">
        <is>
          <t>Grand Blue</t>
        </is>
      </c>
      <c r="I118" s="2" t="inlineStr">
        <is>
          <t>2025-05-01</t>
        </is>
      </c>
      <c r="J118" s="2" t="inlineStr">
        <is>
          <t>/assets/cards/JELLY-LASS-OF-THE-GRAND-BLUE.jpg</t>
        </is>
      </c>
      <c r="K118" s="2" t="inlineStr">
        <is>
          <t>No</t>
        </is>
      </c>
      <c r="L118" s="2" t="inlineStr">
        <is>
          <t>No</t>
        </is>
      </c>
      <c r="M118" s="2" t="inlineStr">
        <is>
          <t>No</t>
        </is>
      </c>
      <c r="N118" s="2">
        <f>IF(AND($K118="Yes",$L118="Yes",$M118="Yes"),"Yes","No")</f>
        <v/>
      </c>
      <c r="O118" s="2" t="inlineStr"/>
    </row>
    <row r="119">
      <c r="A119" s="2" t="inlineStr">
        <is>
          <t>CARD-0119</t>
        </is>
      </c>
      <c r="B119" s="2" t="inlineStr">
        <is>
          <t>JELLY MISS OF THE GRAND BLUE</t>
        </is>
      </c>
      <c r="C119" s="2" t="inlineStr">
        <is>
          <t>COOR</t>
        </is>
      </c>
      <c r="D119" s="2" t="inlineStr">
        <is>
          <t>039</t>
        </is>
      </c>
      <c r="E119" s="2" t="inlineStr">
        <is>
          <t>Cosmic Origins</t>
        </is>
      </c>
      <c r="F119" s="2" t="inlineStr">
        <is>
          <t>Monster</t>
        </is>
      </c>
      <c r="G119" s="2" t="inlineStr">
        <is>
          <t>Fish / Effect</t>
        </is>
      </c>
      <c r="H119" s="2" t="inlineStr">
        <is>
          <t>Grand Blue</t>
        </is>
      </c>
      <c r="I119" s="2" t="inlineStr">
        <is>
          <t>2025-05-01</t>
        </is>
      </c>
      <c r="J119" s="2" t="inlineStr">
        <is>
          <t>/assets/cards/JELLY-MISS-OF-THE-GRAND-BLUE.jpg</t>
        </is>
      </c>
      <c r="K119" s="2" t="inlineStr">
        <is>
          <t>No</t>
        </is>
      </c>
      <c r="L119" s="2" t="inlineStr">
        <is>
          <t>No</t>
        </is>
      </c>
      <c r="M119" s="2" t="inlineStr">
        <is>
          <t>No</t>
        </is>
      </c>
      <c r="N119" s="2">
        <f>IF(AND($K119="Yes",$L119="Yes",$M119="Yes"),"Yes","No")</f>
        <v/>
      </c>
      <c r="O119" s="2" t="inlineStr"/>
    </row>
    <row r="120">
      <c r="A120" s="2" t="inlineStr">
        <is>
          <t>CARD-00120</t>
        </is>
      </c>
      <c r="B120" s="2" t="inlineStr">
        <is>
          <t>BRILLIANCE OF THE GRAND BLUE</t>
        </is>
      </c>
      <c r="C120" s="2" t="inlineStr">
        <is>
          <t>COOR</t>
        </is>
      </c>
      <c r="D120" s="2" t="inlineStr">
        <is>
          <t>040</t>
        </is>
      </c>
      <c r="E120" s="2" t="inlineStr">
        <is>
          <t>Cosmic Origins</t>
        </is>
      </c>
      <c r="F120" s="2" t="inlineStr">
        <is>
          <t>Spell</t>
        </is>
      </c>
      <c r="G120" s="2" t="inlineStr">
        <is>
          <t>Spell / Quick-Play</t>
        </is>
      </c>
      <c r="H120" s="2" t="inlineStr">
        <is>
          <t>Grand Blue</t>
        </is>
      </c>
      <c r="I120" s="2" t="inlineStr">
        <is>
          <t>2025-05-01</t>
        </is>
      </c>
      <c r="J120" s="2" t="inlineStr">
        <is>
          <t>/assets/cards/BRILLIANCE-OF-THE-GRAND-BLUE.jpg</t>
        </is>
      </c>
      <c r="K120" s="2" t="inlineStr">
        <is>
          <t>No</t>
        </is>
      </c>
      <c r="L120" s="2" t="inlineStr">
        <is>
          <t>No</t>
        </is>
      </c>
      <c r="M120" s="2" t="inlineStr">
        <is>
          <t>No</t>
        </is>
      </c>
      <c r="N120" s="2">
        <f>IF(AND($K120="Yes",$L120="Yes",$M120="Yes"),"Yes","No")</f>
        <v/>
      </c>
      <c r="O120" s="2" t="inlineStr"/>
    </row>
    <row r="121">
      <c r="A121" s="2" t="inlineStr">
        <is>
          <t>CARD-0121</t>
        </is>
      </c>
      <c r="B121" s="2" t="inlineStr">
        <is>
          <t>CITY WITHIN THE GRAND BLUE</t>
        </is>
      </c>
      <c r="C121" s="2" t="inlineStr">
        <is>
          <t>COOR</t>
        </is>
      </c>
      <c r="D121" s="2" t="inlineStr">
        <is>
          <t>041</t>
        </is>
      </c>
      <c r="E121" s="2" t="inlineStr">
        <is>
          <t>Cosmic Origins</t>
        </is>
      </c>
      <c r="F121" s="2" t="inlineStr">
        <is>
          <t>Spell</t>
        </is>
      </c>
      <c r="G121" s="2" t="inlineStr">
        <is>
          <t>Spell / Field</t>
        </is>
      </c>
      <c r="H121" s="2" t="inlineStr">
        <is>
          <t>Grand Blue</t>
        </is>
      </c>
      <c r="I121" s="2" t="inlineStr">
        <is>
          <t>2025-05-01</t>
        </is>
      </c>
      <c r="J121" s="2" t="inlineStr">
        <is>
          <t>/assets/cards/CITY-WITHIN-THE-GRAND-BLUE.jpg</t>
        </is>
      </c>
      <c r="K121" s="2" t="inlineStr">
        <is>
          <t>No</t>
        </is>
      </c>
      <c r="L121" s="2" t="inlineStr">
        <is>
          <t>No</t>
        </is>
      </c>
      <c r="M121" s="2" t="inlineStr">
        <is>
          <t>No</t>
        </is>
      </c>
      <c r="N121" s="2">
        <f>IF(AND($K121="Yes",$L121="Yes",$M121="Yes"),"Yes","No")</f>
        <v/>
      </c>
      <c r="O121" s="2" t="inlineStr"/>
    </row>
    <row r="122">
      <c r="A122" s="2" t="inlineStr">
        <is>
          <t>CARD-0122</t>
        </is>
      </c>
      <c r="B122" s="2" t="inlineStr">
        <is>
          <t>GRAND BLUE PRINCESS</t>
        </is>
      </c>
      <c r="C122" s="2" t="inlineStr">
        <is>
          <t>COOR</t>
        </is>
      </c>
      <c r="D122" s="2" t="inlineStr">
        <is>
          <t>042</t>
        </is>
      </c>
      <c r="E122" s="2" t="inlineStr">
        <is>
          <t>Cosmic Origins</t>
        </is>
      </c>
      <c r="F122" s="2" t="inlineStr">
        <is>
          <t>Monster</t>
        </is>
      </c>
      <c r="G122" s="2" t="inlineStr">
        <is>
          <t>Aqua / Effect / Fusion</t>
        </is>
      </c>
      <c r="H122" s="2" t="inlineStr">
        <is>
          <t>Grand Blue</t>
        </is>
      </c>
      <c r="I122" s="2" t="inlineStr">
        <is>
          <t>2025-05-01</t>
        </is>
      </c>
      <c r="J122" s="2" t="inlineStr">
        <is>
          <t>/assets/cards/GRAND-BLUE-PRINCESS.jpg</t>
        </is>
      </c>
      <c r="K122" s="2" t="inlineStr">
        <is>
          <t>No</t>
        </is>
      </c>
      <c r="L122" s="2" t="inlineStr">
        <is>
          <t>No</t>
        </is>
      </c>
      <c r="M122" s="2" t="inlineStr">
        <is>
          <t>No</t>
        </is>
      </c>
      <c r="N122" s="2">
        <f>IF(AND($K122="Yes",$L122="Yes",$M122="Yes"),"Yes","No")</f>
        <v/>
      </c>
      <c r="O122" s="2" t="inlineStr"/>
    </row>
    <row r="123">
      <c r="A123" s="2" t="inlineStr">
        <is>
          <t>CARD-0123</t>
        </is>
      </c>
      <c r="B123" s="2" t="inlineStr">
        <is>
          <t>ORACLE OF THE GRAND BLUE</t>
        </is>
      </c>
      <c r="C123" s="2" t="inlineStr">
        <is>
          <t>COOR</t>
        </is>
      </c>
      <c r="D123" s="2" t="inlineStr">
        <is>
          <t>043</t>
        </is>
      </c>
      <c r="E123" s="2" t="inlineStr">
        <is>
          <t>Cosmic Origins</t>
        </is>
      </c>
      <c r="F123" s="2" t="inlineStr">
        <is>
          <t>Monster</t>
        </is>
      </c>
      <c r="G123" s="2" t="inlineStr">
        <is>
          <t>Aqua / Effect / Link</t>
        </is>
      </c>
      <c r="H123" s="2" t="inlineStr">
        <is>
          <t>Grand Blue</t>
        </is>
      </c>
      <c r="I123" s="2" t="inlineStr">
        <is>
          <t>2025-05-01</t>
        </is>
      </c>
      <c r="J123" s="2" t="inlineStr">
        <is>
          <t>/assets/cards/ORACLE-OF-THE-GRAND-BLUE.jpg</t>
        </is>
      </c>
      <c r="K123" s="2" t="inlineStr">
        <is>
          <t>No</t>
        </is>
      </c>
      <c r="L123" s="2" t="inlineStr">
        <is>
          <t>No</t>
        </is>
      </c>
      <c r="M123" s="2" t="inlineStr">
        <is>
          <t>No</t>
        </is>
      </c>
      <c r="N123" s="2">
        <f>IF(AND($K123="Yes",$L123="Yes",$M123="Yes"),"Yes","No")</f>
        <v/>
      </c>
      <c r="O123" s="2" t="inlineStr"/>
    </row>
    <row r="124">
      <c r="A124" s="2" t="inlineStr">
        <is>
          <t>CARD-0124</t>
        </is>
      </c>
      <c r="B124" s="2" t="inlineStr">
        <is>
          <t>GRAND BLUE MATRIARCH</t>
        </is>
      </c>
      <c r="C124" s="2" t="inlineStr">
        <is>
          <t>COOR</t>
        </is>
      </c>
      <c r="D124" s="2" t="inlineStr">
        <is>
          <t>044</t>
        </is>
      </c>
      <c r="E124" s="2" t="inlineStr">
        <is>
          <t>Cosmic Origins</t>
        </is>
      </c>
      <c r="F124" s="2" t="inlineStr">
        <is>
          <t>Monster</t>
        </is>
      </c>
      <c r="G124" s="2" t="inlineStr">
        <is>
          <t>Aqua / Effect / Synchro</t>
        </is>
      </c>
      <c r="H124" s="2" t="inlineStr">
        <is>
          <t>Grand Blue</t>
        </is>
      </c>
      <c r="I124" s="2" t="inlineStr">
        <is>
          <t>2025-05-01</t>
        </is>
      </c>
      <c r="J124" s="2" t="inlineStr">
        <is>
          <t>/assets/cards/GRAND-BLUE-MATRIARCH.jpg</t>
        </is>
      </c>
      <c r="K124" s="2" t="inlineStr">
        <is>
          <t>No</t>
        </is>
      </c>
      <c r="L124" s="2" t="inlineStr">
        <is>
          <t>No</t>
        </is>
      </c>
      <c r="M124" s="2" t="inlineStr">
        <is>
          <t>No</t>
        </is>
      </c>
      <c r="N124" s="2">
        <f>IF(AND($K124="Yes",$L124="Yes",$M124="Yes"),"Yes","No")</f>
        <v/>
      </c>
      <c r="O124" s="2" t="inlineStr"/>
    </row>
    <row r="125">
      <c r="A125" s="2" t="inlineStr">
        <is>
          <t>CARD-0125</t>
        </is>
      </c>
      <c r="B125" s="2" t="inlineStr">
        <is>
          <t>GRAND BLUE PRINCE</t>
        </is>
      </c>
      <c r="C125" s="2" t="inlineStr">
        <is>
          <t>COOR</t>
        </is>
      </c>
      <c r="D125" s="2" t="inlineStr">
        <is>
          <t>045</t>
        </is>
      </c>
      <c r="E125" s="2" t="inlineStr">
        <is>
          <t>Cosmic Origins</t>
        </is>
      </c>
      <c r="F125" s="2" t="inlineStr">
        <is>
          <t>Monster</t>
        </is>
      </c>
      <c r="G125" s="2" t="inlineStr">
        <is>
          <t>Aqua / Effect / Fusion</t>
        </is>
      </c>
      <c r="H125" s="2" t="inlineStr">
        <is>
          <t>Grand Blue</t>
        </is>
      </c>
      <c r="I125" s="2" t="inlineStr">
        <is>
          <t>2025-05-01</t>
        </is>
      </c>
      <c r="J125" s="2" t="inlineStr">
        <is>
          <t>/assets/cards/GRAND-BLUE-PRINCE.jpg</t>
        </is>
      </c>
      <c r="K125" s="2" t="inlineStr">
        <is>
          <t>No</t>
        </is>
      </c>
      <c r="L125" s="2" t="inlineStr">
        <is>
          <t>No</t>
        </is>
      </c>
      <c r="M125" s="2" t="inlineStr">
        <is>
          <t>No</t>
        </is>
      </c>
      <c r="N125" s="2">
        <f>IF(AND($K125="Yes",$L125="Yes",$M125="Yes"),"Yes","No")</f>
        <v/>
      </c>
      <c r="O125" s="2" t="inlineStr"/>
    </row>
    <row r="126">
      <c r="A126" s="2" t="inlineStr">
        <is>
          <t>CARD-0126</t>
        </is>
      </c>
      <c r="B126" s="2" t="inlineStr">
        <is>
          <t>Stellaer of the Lightning Runes</t>
        </is>
      </c>
      <c r="C126" s="2" t="inlineStr">
        <is>
          <t>COOR</t>
        </is>
      </c>
      <c r="D126" s="2" t="inlineStr">
        <is>
          <t>046</t>
        </is>
      </c>
      <c r="E126" s="2" t="inlineStr">
        <is>
          <t>Cosmic Origins</t>
        </is>
      </c>
      <c r="F126" s="2" t="inlineStr">
        <is>
          <t>Monster</t>
        </is>
      </c>
      <c r="G126" s="2" t="inlineStr">
        <is>
          <t>Dragon / Effect</t>
        </is>
      </c>
      <c r="H126" s="2" t="inlineStr">
        <is>
          <t>Stellaer</t>
        </is>
      </c>
      <c r="I126" s="2" t="inlineStr">
        <is>
          <t>2025-05-01</t>
        </is>
      </c>
      <c r="J126" s="2" t="inlineStr">
        <is>
          <t>/assets/cards/Stellaer-of-the-Lightning-Runes.png</t>
        </is>
      </c>
      <c r="K126" s="2" t="inlineStr">
        <is>
          <t>No</t>
        </is>
      </c>
      <c r="L126" s="2" t="inlineStr">
        <is>
          <t>No</t>
        </is>
      </c>
      <c r="M126" s="2" t="inlineStr">
        <is>
          <t>No</t>
        </is>
      </c>
      <c r="N126" s="2">
        <f>IF(AND($K126="Yes",$L126="Yes",$M126="Yes"),"Yes","No")</f>
        <v/>
      </c>
      <c r="O126" s="2" t="inlineStr"/>
    </row>
    <row r="127">
      <c r="A127" s="2" t="inlineStr">
        <is>
          <t>CARD-0127</t>
        </is>
      </c>
      <c r="B127" s="2" t="inlineStr">
        <is>
          <t>PRIESTESS OF NEPHTHYS</t>
        </is>
      </c>
      <c r="C127" s="2" t="inlineStr">
        <is>
          <t>COOR</t>
        </is>
      </c>
      <c r="D127" s="2" t="inlineStr">
        <is>
          <t>047</t>
        </is>
      </c>
      <c r="E127" s="2" t="inlineStr">
        <is>
          <t>Cosmic Origins</t>
        </is>
      </c>
      <c r="F127" s="2" t="inlineStr">
        <is>
          <t>Monster</t>
        </is>
      </c>
      <c r="G127" s="2" t="inlineStr">
        <is>
          <t>Spellcaster / Effect / Ritual</t>
        </is>
      </c>
      <c r="H127" s="2" t="inlineStr">
        <is>
          <t>Nephthys</t>
        </is>
      </c>
      <c r="I127" s="2" t="inlineStr">
        <is>
          <t>2025-05-01</t>
        </is>
      </c>
      <c r="J127" s="2" t="inlineStr">
        <is>
          <t>/assets/cards/PRIESTESS-OF-NEPHTHYS.jpg</t>
        </is>
      </c>
      <c r="K127" s="2" t="inlineStr">
        <is>
          <t>No</t>
        </is>
      </c>
      <c r="L127" s="2" t="inlineStr">
        <is>
          <t>No</t>
        </is>
      </c>
      <c r="M127" s="2" t="inlineStr">
        <is>
          <t>No</t>
        </is>
      </c>
      <c r="N127" s="2">
        <f>IF(AND($K127="Yes",$L127="Yes",$M127="Yes"),"Yes","No")</f>
        <v/>
      </c>
      <c r="O127" s="2" t="inlineStr"/>
    </row>
    <row r="128">
      <c r="A128" s="2" t="inlineStr">
        <is>
          <t>CARD-0128</t>
        </is>
      </c>
      <c r="B128" s="2" t="inlineStr">
        <is>
          <t>SACRED FEATHER OF NEPHTHYS</t>
        </is>
      </c>
      <c r="C128" s="2" t="inlineStr">
        <is>
          <t>COOR</t>
        </is>
      </c>
      <c r="D128" s="2" t="inlineStr">
        <is>
          <t>048</t>
        </is>
      </c>
      <c r="E128" s="2" t="inlineStr">
        <is>
          <t>Cosmic Origins</t>
        </is>
      </c>
      <c r="F128" s="2" t="inlineStr">
        <is>
          <t>Spell</t>
        </is>
      </c>
      <c r="G128" s="2" t="inlineStr">
        <is>
          <t>Spell / Ritual</t>
        </is>
      </c>
      <c r="H128" s="2" t="inlineStr">
        <is>
          <t>Nephthys</t>
        </is>
      </c>
      <c r="I128" s="2" t="inlineStr">
        <is>
          <t>2025-05-01</t>
        </is>
      </c>
      <c r="J128" s="2" t="inlineStr">
        <is>
          <t>/assets/cards/SACRED-FEATHER-OF-NEPHTHYS.jpg</t>
        </is>
      </c>
      <c r="K128" s="2" t="inlineStr">
        <is>
          <t>No</t>
        </is>
      </c>
      <c r="L128" s="2" t="inlineStr">
        <is>
          <t>No</t>
        </is>
      </c>
      <c r="M128" s="2" t="inlineStr">
        <is>
          <t>No</t>
        </is>
      </c>
      <c r="N128" s="2">
        <f>IF(AND($K128="Yes",$L128="Yes",$M128="Yes"),"Yes","No")</f>
        <v/>
      </c>
      <c r="O128" s="2" t="inlineStr"/>
    </row>
    <row r="129">
      <c r="A129" s="2" t="inlineStr">
        <is>
          <t>CARD-129</t>
        </is>
      </c>
      <c r="B129" s="2" t="inlineStr">
        <is>
          <t>Stellaer of the Frozen</t>
        </is>
      </c>
      <c r="C129" s="2" t="inlineStr">
        <is>
          <t>COOR</t>
        </is>
      </c>
      <c r="D129" s="2" t="inlineStr">
        <is>
          <t>049</t>
        </is>
      </c>
      <c r="E129" s="2" t="inlineStr">
        <is>
          <t>Cosmic Origins</t>
        </is>
      </c>
      <c r="F129" s="2" t="inlineStr">
        <is>
          <t>Monster</t>
        </is>
      </c>
      <c r="G129" s="2" t="inlineStr">
        <is>
          <t>Dragon / Xyz / Effect</t>
        </is>
      </c>
      <c r="H129" s="2" t="inlineStr">
        <is>
          <t>Stellaer</t>
        </is>
      </c>
      <c r="I129" s="2" t="inlineStr">
        <is>
          <t>2025-05-01</t>
        </is>
      </c>
      <c r="J129" s="2" t="inlineStr">
        <is>
          <t>/assets/cards/Stellaer-of-the-Frozen.jpeg</t>
        </is>
      </c>
      <c r="K129" s="2" t="inlineStr">
        <is>
          <t>No</t>
        </is>
      </c>
      <c r="L129" s="2" t="inlineStr">
        <is>
          <t>No</t>
        </is>
      </c>
      <c r="M129" s="2" t="inlineStr">
        <is>
          <t>No</t>
        </is>
      </c>
      <c r="N129" s="2">
        <f>IF(AND($K129="Yes",$L129="Yes",$M129="Yes"),"Yes","No")</f>
        <v/>
      </c>
      <c r="O129" s="2" t="inlineStr"/>
    </row>
    <row r="130">
      <c r="A130" s="2" t="inlineStr">
        <is>
          <t>CARD-0130</t>
        </is>
      </c>
      <c r="B130" s="2" t="inlineStr">
        <is>
          <t>RAGE OF NEPHTHYS</t>
        </is>
      </c>
      <c r="C130" s="2" t="inlineStr">
        <is>
          <t>COOR</t>
        </is>
      </c>
      <c r="D130" s="2" t="inlineStr">
        <is>
          <t>050</t>
        </is>
      </c>
      <c r="E130" s="2" t="inlineStr">
        <is>
          <t>Cosmic Origins</t>
        </is>
      </c>
      <c r="F130" s="2" t="inlineStr">
        <is>
          <t>Trap</t>
        </is>
      </c>
      <c r="G130" s="2" t="inlineStr">
        <is>
          <t>Trap / Continuous</t>
        </is>
      </c>
      <c r="H130" s="2" t="inlineStr">
        <is>
          <t>Nephthys</t>
        </is>
      </c>
      <c r="I130" s="2" t="inlineStr">
        <is>
          <t>2025-05-01</t>
        </is>
      </c>
      <c r="J130" s="2" t="inlineStr">
        <is>
          <t>/assets/cards/RAGE-OF-NEPHTHYS.jpg</t>
        </is>
      </c>
      <c r="K130" s="2" t="inlineStr">
        <is>
          <t>No</t>
        </is>
      </c>
      <c r="L130" s="2" t="inlineStr">
        <is>
          <t>No</t>
        </is>
      </c>
      <c r="M130" s="2" t="inlineStr">
        <is>
          <t>No</t>
        </is>
      </c>
      <c r="N130" s="2">
        <f>IF(AND($K130="Yes",$L130="Yes",$M130="Yes"),"Yes","No")</f>
        <v/>
      </c>
      <c r="O130" s="2" t="inlineStr"/>
    </row>
    <row r="131">
      <c r="A131" s="2" t="inlineStr">
        <is>
          <t>CARD-0131</t>
        </is>
      </c>
      <c r="B131" s="2" t="inlineStr">
        <is>
          <t>TO PROTO OUSIA</t>
        </is>
      </c>
      <c r="C131" s="2" t="inlineStr">
        <is>
          <t>COOR</t>
        </is>
      </c>
      <c r="D131" s="2" t="inlineStr">
        <is>
          <t>051</t>
        </is>
      </c>
      <c r="E131" s="2" t="inlineStr">
        <is>
          <t>Cosmic Origins</t>
        </is>
      </c>
      <c r="F131" s="2" t="inlineStr">
        <is>
          <t>Monster</t>
        </is>
      </c>
      <c r="G131" s="2" t="inlineStr">
        <is>
          <t>Galaxy / Effect</t>
        </is>
      </c>
      <c r="H131" s="2" t="inlineStr">
        <is>
          <t>To Proto</t>
        </is>
      </c>
      <c r="I131" s="2" t="inlineStr">
        <is>
          <t>2025-05-01</t>
        </is>
      </c>
      <c r="J131" s="2" t="inlineStr">
        <is>
          <t>/assets/cards/TO-PROTO-OUSIA.jpg</t>
        </is>
      </c>
      <c r="K131" s="2" t="inlineStr">
        <is>
          <t>No</t>
        </is>
      </c>
      <c r="L131" s="2" t="inlineStr">
        <is>
          <t>No</t>
        </is>
      </c>
      <c r="M131" s="2" t="inlineStr">
        <is>
          <t>No</t>
        </is>
      </c>
      <c r="N131" s="2">
        <f>IF(AND($K131="Yes",$L131="Yes",$M131="Yes"),"Yes","No")</f>
        <v/>
      </c>
      <c r="O131" s="2" t="inlineStr"/>
    </row>
    <row r="132">
      <c r="A132" s="2" t="inlineStr">
        <is>
          <t>CARD-0132</t>
        </is>
      </c>
      <c r="B132" s="2" t="inlineStr">
        <is>
          <t>TO PROTO ARCHEGONI</t>
        </is>
      </c>
      <c r="C132" s="2" t="inlineStr">
        <is>
          <t>COOR</t>
        </is>
      </c>
      <c r="D132" s="2" t="inlineStr">
        <is>
          <t>052</t>
        </is>
      </c>
      <c r="E132" s="2" t="inlineStr">
        <is>
          <t>Cosmic Origins</t>
        </is>
      </c>
      <c r="F132" s="2" t="inlineStr">
        <is>
          <t>Monster</t>
        </is>
      </c>
      <c r="G132" s="2" t="inlineStr">
        <is>
          <t>Galaxy / Effect / Link</t>
        </is>
      </c>
      <c r="H132" s="2" t="inlineStr">
        <is>
          <t>To Proto</t>
        </is>
      </c>
      <c r="I132" s="2" t="inlineStr">
        <is>
          <t>2025-05-01</t>
        </is>
      </c>
      <c r="J132" s="2" t="inlineStr">
        <is>
          <t>/assets/cards/TO-PROTO-ARCHEGONI.jpg</t>
        </is>
      </c>
      <c r="K132" s="2" t="inlineStr">
        <is>
          <t>No</t>
        </is>
      </c>
      <c r="L132" s="2" t="inlineStr">
        <is>
          <t>No</t>
        </is>
      </c>
      <c r="M132" s="2" t="inlineStr">
        <is>
          <t>No</t>
        </is>
      </c>
      <c r="N132" s="2">
        <f>IF(AND($K132="Yes",$L132="Yes",$M132="Yes"),"Yes","No")</f>
        <v/>
      </c>
      <c r="O132" s="2" t="inlineStr"/>
    </row>
    <row r="133">
      <c r="A133" s="2" t="inlineStr">
        <is>
          <t>CARD-0133</t>
        </is>
      </c>
      <c r="B133" s="2" t="inlineStr">
        <is>
          <t>PROTOGENESIS</t>
        </is>
      </c>
      <c r="C133" s="2" t="inlineStr">
        <is>
          <t>COOR</t>
        </is>
      </c>
      <c r="D133" s="2" t="inlineStr">
        <is>
          <t>053</t>
        </is>
      </c>
      <c r="E133" s="2" t="inlineStr">
        <is>
          <t>Cosmic Origins</t>
        </is>
      </c>
      <c r="F133" s="2" t="inlineStr">
        <is>
          <t>Spell</t>
        </is>
      </c>
      <c r="G133" s="2" t="inlineStr">
        <is>
          <t>Spell / Normal</t>
        </is>
      </c>
      <c r="H133" s="2" t="inlineStr">
        <is>
          <t>To Proto</t>
        </is>
      </c>
      <c r="I133" s="2" t="inlineStr">
        <is>
          <t>2025-05-01</t>
        </is>
      </c>
      <c r="J133" s="2" t="inlineStr">
        <is>
          <t>/assets/cards/PROTOGENESIS.jpg</t>
        </is>
      </c>
      <c r="K133" s="2" t="inlineStr">
        <is>
          <t>No</t>
        </is>
      </c>
      <c r="L133" s="2" t="inlineStr">
        <is>
          <t>No</t>
        </is>
      </c>
      <c r="M133" s="2" t="inlineStr">
        <is>
          <t>No</t>
        </is>
      </c>
      <c r="N133" s="2">
        <f>IF(AND($K133="Yes",$L133="Yes",$M133="Yes"),"Yes","No")</f>
        <v/>
      </c>
      <c r="O133" s="2" t="inlineStr"/>
    </row>
    <row r="134">
      <c r="A134" s="2" t="inlineStr">
        <is>
          <t>CARD-0134</t>
        </is>
      </c>
      <c r="B134" s="2" t="inlineStr">
        <is>
          <t>THE BEGINNING</t>
        </is>
      </c>
      <c r="C134" s="2" t="inlineStr">
        <is>
          <t>COOR</t>
        </is>
      </c>
      <c r="D134" s="2" t="inlineStr">
        <is>
          <t>054</t>
        </is>
      </c>
      <c r="E134" s="2" t="inlineStr">
        <is>
          <t>Cosmic Origins</t>
        </is>
      </c>
      <c r="F134" s="2" t="inlineStr">
        <is>
          <t>Spell</t>
        </is>
      </c>
      <c r="G134" s="2" t="inlineStr">
        <is>
          <t>Spell / Field</t>
        </is>
      </c>
      <c r="H134" s="2" t="inlineStr">
        <is>
          <t>To Proto</t>
        </is>
      </c>
      <c r="I134" s="2" t="inlineStr">
        <is>
          <t>2025-05-01</t>
        </is>
      </c>
      <c r="J134" s="2" t="inlineStr">
        <is>
          <t>/assets/cards/THE-BEGINNING.jpg</t>
        </is>
      </c>
      <c r="K134" s="2" t="inlineStr">
        <is>
          <t>No</t>
        </is>
      </c>
      <c r="L134" s="2" t="inlineStr">
        <is>
          <t>No</t>
        </is>
      </c>
      <c r="M134" s="2" t="inlineStr">
        <is>
          <t>No</t>
        </is>
      </c>
      <c r="N134" s="2">
        <f>IF(AND($K134="Yes",$L134="Yes",$M134="Yes"),"Yes","No")</f>
        <v/>
      </c>
      <c r="O134" s="2" t="inlineStr"/>
    </row>
    <row r="135">
      <c r="A135" s="2" t="inlineStr">
        <is>
          <t>CARD-0135</t>
        </is>
      </c>
      <c r="B135" s="2" t="inlineStr">
        <is>
          <t>PROTOGENIC ASTRAL CYCLE</t>
        </is>
      </c>
      <c r="C135" s="2" t="inlineStr">
        <is>
          <t>COOR</t>
        </is>
      </c>
      <c r="D135" s="2" t="inlineStr">
        <is>
          <t>055</t>
        </is>
      </c>
      <c r="E135" s="2" t="inlineStr">
        <is>
          <t>Cosmic Origins</t>
        </is>
      </c>
      <c r="F135" s="2" t="inlineStr">
        <is>
          <t>Spell</t>
        </is>
      </c>
      <c r="G135" s="2" t="inlineStr">
        <is>
          <t>Spell / Continuous</t>
        </is>
      </c>
      <c r="H135" s="2" t="inlineStr">
        <is>
          <t>To Proto</t>
        </is>
      </c>
      <c r="I135" s="2" t="inlineStr">
        <is>
          <t>2025-05-01</t>
        </is>
      </c>
      <c r="J135" s="2" t="inlineStr">
        <is>
          <t>/assets/cards/PROTOGENIC-ASTRAL-CYCLE.jpg</t>
        </is>
      </c>
      <c r="K135" s="2" t="inlineStr">
        <is>
          <t>No</t>
        </is>
      </c>
      <c r="L135" s="2" t="inlineStr">
        <is>
          <t>No</t>
        </is>
      </c>
      <c r="M135" s="2" t="inlineStr">
        <is>
          <t>No</t>
        </is>
      </c>
      <c r="N135" s="2">
        <f>IF(AND($K135="Yes",$L135="Yes",$M135="Yes"),"Yes","No")</f>
        <v/>
      </c>
      <c r="O135" s="2" t="inlineStr"/>
    </row>
    <row r="136">
      <c r="A136" s="2" t="inlineStr">
        <is>
          <t>CARD-0136</t>
        </is>
      </c>
      <c r="B136" s="2" t="inlineStr">
        <is>
          <t>TO PROTO CHRONO</t>
        </is>
      </c>
      <c r="C136" s="2" t="inlineStr">
        <is>
          <t>COOR</t>
        </is>
      </c>
      <c r="D136" s="2" t="inlineStr">
        <is>
          <t>056</t>
        </is>
      </c>
      <c r="E136" s="2" t="inlineStr">
        <is>
          <t>Cosmic Origins</t>
        </is>
      </c>
      <c r="F136" s="2" t="inlineStr">
        <is>
          <t>Monster</t>
        </is>
      </c>
      <c r="G136" s="2" t="inlineStr">
        <is>
          <t>Galaxy / Effect</t>
        </is>
      </c>
      <c r="H136" s="2" t="inlineStr">
        <is>
          <t>To Proto</t>
        </is>
      </c>
      <c r="I136" s="2" t="inlineStr">
        <is>
          <t>2025-05-01</t>
        </is>
      </c>
      <c r="J136" s="2" t="inlineStr">
        <is>
          <t>/assets/cards/TO-PROTO-CHRONO.jpg</t>
        </is>
      </c>
      <c r="K136" s="2" t="inlineStr">
        <is>
          <t>No</t>
        </is>
      </c>
      <c r="L136" s="2" t="inlineStr">
        <is>
          <t>No</t>
        </is>
      </c>
      <c r="M136" s="2" t="inlineStr">
        <is>
          <t>No</t>
        </is>
      </c>
      <c r="N136" s="2">
        <f>IF(AND($K136="Yes",$L136="Yes",$M136="Yes"),"Yes","No")</f>
        <v/>
      </c>
      <c r="O136" s="2" t="inlineStr"/>
    </row>
    <row r="137">
      <c r="A137" s="2" t="inlineStr">
        <is>
          <t>CARD-0137</t>
        </is>
      </c>
      <c r="B137" s="2" t="inlineStr">
        <is>
          <t>To Proto Taxis</t>
        </is>
      </c>
      <c r="C137" s="2" t="inlineStr">
        <is>
          <t>COOR</t>
        </is>
      </c>
      <c r="D137" s="2" t="inlineStr">
        <is>
          <t>0057</t>
        </is>
      </c>
      <c r="E137" s="2" t="inlineStr">
        <is>
          <t>Cosmic Origins</t>
        </is>
      </c>
      <c r="F137" s="2" t="inlineStr">
        <is>
          <t>Monster</t>
        </is>
      </c>
      <c r="G137" s="2" t="inlineStr">
        <is>
          <t>Galaxy / Effect</t>
        </is>
      </c>
      <c r="H137" s="2" t="inlineStr">
        <is>
          <t>To Proto</t>
        </is>
      </c>
      <c r="I137" s="2" t="inlineStr">
        <is>
          <t>2025-05-01</t>
        </is>
      </c>
      <c r="J137" s="2" t="inlineStr">
        <is>
          <t>/assets/cards/To-Proto-Taxis.jpeg</t>
        </is>
      </c>
      <c r="K137" s="2" t="inlineStr">
        <is>
          <t>No</t>
        </is>
      </c>
      <c r="L137" s="2" t="inlineStr">
        <is>
          <t>No</t>
        </is>
      </c>
      <c r="M137" s="2" t="inlineStr">
        <is>
          <t>No</t>
        </is>
      </c>
      <c r="N137" s="2">
        <f>IF(AND($K137="Yes",$L137="Yes",$M137="Yes"),"Yes","No")</f>
        <v/>
      </c>
      <c r="O137" s="2" t="inlineStr"/>
    </row>
    <row r="138">
      <c r="A138" s="2" t="inlineStr">
        <is>
          <t>CARD-0138</t>
        </is>
      </c>
      <c r="B138" s="2" t="inlineStr">
        <is>
          <t>Stellaer of the Plants</t>
        </is>
      </c>
      <c r="C138" s="2" t="inlineStr">
        <is>
          <t>COOR</t>
        </is>
      </c>
      <c r="D138" s="2" t="inlineStr">
        <is>
          <t>058</t>
        </is>
      </c>
      <c r="E138" s="2" t="inlineStr">
        <is>
          <t>Cosmic Origins</t>
        </is>
      </c>
      <c r="F138" s="2" t="inlineStr">
        <is>
          <t>Monster</t>
        </is>
      </c>
      <c r="G138" s="2" t="inlineStr">
        <is>
          <t>Dragon / Effect</t>
        </is>
      </c>
      <c r="H138" s="2" t="inlineStr">
        <is>
          <t>Stellaer</t>
        </is>
      </c>
      <c r="I138" s="2" t="inlineStr">
        <is>
          <t>2025-05-01</t>
        </is>
      </c>
      <c r="J138" s="2" t="inlineStr">
        <is>
          <t>/assets/cards/Stellaer-of-the-Plants.png</t>
        </is>
      </c>
      <c r="K138" s="2" t="inlineStr">
        <is>
          <t>No</t>
        </is>
      </c>
      <c r="L138" s="2" t="inlineStr">
        <is>
          <t>No</t>
        </is>
      </c>
      <c r="M138" s="2" t="inlineStr">
        <is>
          <t>No</t>
        </is>
      </c>
      <c r="N138" s="2">
        <f>IF(AND($K138="Yes",$L138="Yes",$M138="Yes"),"Yes","No")</f>
        <v/>
      </c>
      <c r="O138" s="2" t="inlineStr"/>
    </row>
    <row r="139">
      <c r="A139" s="2" t="inlineStr">
        <is>
          <t>CARD-0139</t>
        </is>
      </c>
      <c r="B139" s="2" t="inlineStr">
        <is>
          <t>To Proto Ataxia</t>
        </is>
      </c>
      <c r="C139" s="2" t="inlineStr">
        <is>
          <t>COOR</t>
        </is>
      </c>
      <c r="D139" s="2" t="inlineStr">
        <is>
          <t>0059</t>
        </is>
      </c>
      <c r="E139" s="2" t="inlineStr">
        <is>
          <t>Cosmic Origins</t>
        </is>
      </c>
      <c r="F139" s="2" t="inlineStr">
        <is>
          <t>Monster</t>
        </is>
      </c>
      <c r="G139" s="2" t="inlineStr">
        <is>
          <t>Galaxy / Effect</t>
        </is>
      </c>
      <c r="H139" s="2" t="inlineStr">
        <is>
          <t>To Proto</t>
        </is>
      </c>
      <c r="I139" s="2" t="inlineStr">
        <is>
          <t>2025-05-01</t>
        </is>
      </c>
      <c r="J139" s="2" t="inlineStr">
        <is>
          <t>/assets/cards/To-Proto-Ataxia.jpeg</t>
        </is>
      </c>
      <c r="K139" s="2" t="inlineStr">
        <is>
          <t>No</t>
        </is>
      </c>
      <c r="L139" s="2" t="inlineStr">
        <is>
          <t>No</t>
        </is>
      </c>
      <c r="M139" s="2" t="inlineStr">
        <is>
          <t>No</t>
        </is>
      </c>
      <c r="N139" s="2">
        <f>IF(AND($K139="Yes",$L139="Yes",$M139="Yes"),"Yes","No")</f>
        <v/>
      </c>
      <c r="O139" s="2" t="inlineStr"/>
    </row>
    <row r="140">
      <c r="A140" s="2" t="inlineStr">
        <is>
          <t>CARD-0140</t>
        </is>
      </c>
      <c r="B140" s="2" t="inlineStr">
        <is>
          <t>To Proto Psychi</t>
        </is>
      </c>
      <c r="C140" s="2" t="inlineStr">
        <is>
          <t>COOR</t>
        </is>
      </c>
      <c r="D140" s="2" t="inlineStr">
        <is>
          <t>0060</t>
        </is>
      </c>
      <c r="E140" s="2" t="inlineStr">
        <is>
          <t>Cosmic Origins</t>
        </is>
      </c>
      <c r="F140" s="2" t="inlineStr">
        <is>
          <t>Monster</t>
        </is>
      </c>
      <c r="G140" s="2" t="inlineStr">
        <is>
          <t>Galaxy / Effect</t>
        </is>
      </c>
      <c r="H140" s="2" t="inlineStr">
        <is>
          <t>To Proto</t>
        </is>
      </c>
      <c r="I140" s="2" t="inlineStr">
        <is>
          <t>2025-05-01</t>
        </is>
      </c>
      <c r="J140" s="2" t="inlineStr">
        <is>
          <t>/assets/cards/To-Proto-Psychi.jpeg</t>
        </is>
      </c>
      <c r="K140" s="2" t="inlineStr">
        <is>
          <t>No</t>
        </is>
      </c>
      <c r="L140" s="2" t="inlineStr">
        <is>
          <t>No</t>
        </is>
      </c>
      <c r="M140" s="2" t="inlineStr">
        <is>
          <t>No</t>
        </is>
      </c>
      <c r="N140" s="2">
        <f>IF(AND($K140="Yes",$L140="Yes",$M140="Yes"),"Yes","No")</f>
        <v/>
      </c>
      <c r="O140" s="2" t="inlineStr"/>
    </row>
    <row r="141">
      <c r="A141" s="2" t="inlineStr">
        <is>
          <t>CARD-0141</t>
        </is>
      </c>
      <c r="B141" s="2" t="inlineStr">
        <is>
          <t>TO PROTO EISODOS</t>
        </is>
      </c>
      <c r="C141" s="2" t="inlineStr">
        <is>
          <t>COOR</t>
        </is>
      </c>
      <c r="D141" s="2" t="inlineStr">
        <is>
          <t>061</t>
        </is>
      </c>
      <c r="E141" s="2" t="inlineStr">
        <is>
          <t>Cosmic Origins</t>
        </is>
      </c>
      <c r="F141" s="2" t="inlineStr">
        <is>
          <t>Monster</t>
        </is>
      </c>
      <c r="G141" s="2" t="inlineStr">
        <is>
          <t>Galaxy / Effect / Link</t>
        </is>
      </c>
      <c r="H141" s="2" t="inlineStr">
        <is>
          <t>To Proto</t>
        </is>
      </c>
      <c r="I141" s="2" t="inlineStr">
        <is>
          <t>2025-05-01</t>
        </is>
      </c>
      <c r="J141" s="2" t="inlineStr">
        <is>
          <t>/assets/cards/TO-PROTO-EISODOS.jpg</t>
        </is>
      </c>
      <c r="K141" s="2" t="inlineStr">
        <is>
          <t>No</t>
        </is>
      </c>
      <c r="L141" s="2" t="inlineStr">
        <is>
          <t>No</t>
        </is>
      </c>
      <c r="M141" s="2" t="inlineStr">
        <is>
          <t>No</t>
        </is>
      </c>
      <c r="N141" s="2">
        <f>IF(AND($K141="Yes",$L141="Yes",$M141="Yes"),"Yes","No")</f>
        <v/>
      </c>
      <c r="O141" s="2" t="inlineStr"/>
    </row>
    <row r="142">
      <c r="A142" s="2" t="inlineStr">
        <is>
          <t>CARD-0142</t>
        </is>
      </c>
      <c r="B142" s="2" t="inlineStr">
        <is>
          <t>Polemistis gia Ataxia</t>
        </is>
      </c>
      <c r="C142" s="2" t="inlineStr">
        <is>
          <t>COOR</t>
        </is>
      </c>
      <c r="D142" s="2" t="inlineStr">
        <is>
          <t>0062</t>
        </is>
      </c>
      <c r="E142" s="2" t="inlineStr">
        <is>
          <t>Cosmic Origins</t>
        </is>
      </c>
      <c r="F142" s="2" t="inlineStr">
        <is>
          <t>Monster</t>
        </is>
      </c>
      <c r="G142" s="2" t="inlineStr">
        <is>
          <t>Celestial Warrior / Fusion / Effect</t>
        </is>
      </c>
      <c r="H142" s="2" t="inlineStr"/>
      <c r="I142" s="2" t="inlineStr">
        <is>
          <t>2025-05-01</t>
        </is>
      </c>
      <c r="J142" s="2" t="inlineStr">
        <is>
          <t>/assets/cards/Polemistis-gia-Ataxia.jpeg</t>
        </is>
      </c>
      <c r="K142" s="2" t="inlineStr">
        <is>
          <t>No</t>
        </is>
      </c>
      <c r="L142" s="2" t="inlineStr">
        <is>
          <t>No</t>
        </is>
      </c>
      <c r="M142" s="2" t="inlineStr">
        <is>
          <t>No</t>
        </is>
      </c>
      <c r="N142" s="2">
        <f>IF(AND($K142="Yes",$L142="Yes",$M142="Yes"),"Yes","No")</f>
        <v/>
      </c>
      <c r="O142" s="2" t="inlineStr"/>
    </row>
    <row r="143">
      <c r="A143" s="2" t="inlineStr">
        <is>
          <t>CARD-0143</t>
        </is>
      </c>
      <c r="B143" s="2" t="inlineStr">
        <is>
          <t>Ektelestis gia Taxis</t>
        </is>
      </c>
      <c r="C143" s="2" t="inlineStr">
        <is>
          <t>COOR</t>
        </is>
      </c>
      <c r="D143" s="2" t="inlineStr">
        <is>
          <t>0063</t>
        </is>
      </c>
      <c r="E143" s="2" t="inlineStr">
        <is>
          <t>Cosmic Origins</t>
        </is>
      </c>
      <c r="F143" s="2" t="inlineStr">
        <is>
          <t>Monster</t>
        </is>
      </c>
      <c r="G143" s="2" t="inlineStr">
        <is>
          <t>Celestial Warrior / Fusion / Effect</t>
        </is>
      </c>
      <c r="H143" s="2" t="inlineStr"/>
      <c r="I143" s="2" t="inlineStr">
        <is>
          <t>2025-05-01</t>
        </is>
      </c>
      <c r="J143" s="2" t="inlineStr">
        <is>
          <t>/assets/cards/Ektelestis-gia-Taxis.jpeg</t>
        </is>
      </c>
      <c r="K143" s="2" t="inlineStr">
        <is>
          <t>No</t>
        </is>
      </c>
      <c r="L143" s="2" t="inlineStr">
        <is>
          <t>No</t>
        </is>
      </c>
      <c r="M143" s="2" t="inlineStr">
        <is>
          <t>No</t>
        </is>
      </c>
      <c r="N143" s="2">
        <f>IF(AND($K143="Yes",$L143="Yes",$M143="Yes"),"Yes","No")</f>
        <v/>
      </c>
      <c r="O143" s="2" t="inlineStr"/>
    </row>
    <row r="144">
      <c r="A144" s="2" t="inlineStr">
        <is>
          <t>CARD-0144</t>
        </is>
      </c>
      <c r="B144" s="2" t="inlineStr">
        <is>
          <t>Stellaer of the Cold</t>
        </is>
      </c>
      <c r="C144" s="2" t="inlineStr">
        <is>
          <t>COOR</t>
        </is>
      </c>
      <c r="D144" s="2" t="inlineStr">
        <is>
          <t>064</t>
        </is>
      </c>
      <c r="E144" s="2" t="inlineStr">
        <is>
          <t>Cosmic Origins</t>
        </is>
      </c>
      <c r="F144" s="2" t="inlineStr">
        <is>
          <t>Monster</t>
        </is>
      </c>
      <c r="G144" s="2" t="inlineStr">
        <is>
          <t>Dragon / Effect</t>
        </is>
      </c>
      <c r="H144" s="2" t="inlineStr">
        <is>
          <t>Stellaer</t>
        </is>
      </c>
      <c r="I144" s="2" t="inlineStr">
        <is>
          <t>2025-05-01</t>
        </is>
      </c>
      <c r="J144" s="2" t="inlineStr">
        <is>
          <t>/assets/cards/Stellaer-of-the-Cold.png</t>
        </is>
      </c>
      <c r="K144" s="2" t="inlineStr">
        <is>
          <t>No</t>
        </is>
      </c>
      <c r="L144" s="2" t="inlineStr">
        <is>
          <t>No</t>
        </is>
      </c>
      <c r="M144" s="2" t="inlineStr">
        <is>
          <t>No</t>
        </is>
      </c>
      <c r="N144" s="2">
        <f>IF(AND($K144="Yes",$L144="Yes",$M144="Yes"),"Yes","No")</f>
        <v/>
      </c>
      <c r="O144" s="2" t="inlineStr"/>
    </row>
    <row r="145">
      <c r="A145" s="2" t="inlineStr">
        <is>
          <t>CARD-0145</t>
        </is>
      </c>
      <c r="B145" s="2" t="inlineStr">
        <is>
          <t>Stellaer of the Night</t>
        </is>
      </c>
      <c r="C145" s="2" t="inlineStr">
        <is>
          <t>COOR</t>
        </is>
      </c>
      <c r="D145" s="2" t="inlineStr">
        <is>
          <t>0065</t>
        </is>
      </c>
      <c r="E145" s="2" t="inlineStr">
        <is>
          <t>Cosmic Origins</t>
        </is>
      </c>
      <c r="F145" s="2" t="inlineStr">
        <is>
          <t>Monster</t>
        </is>
      </c>
      <c r="G145" s="2" t="inlineStr">
        <is>
          <t>Dragon / Effect</t>
        </is>
      </c>
      <c r="H145" s="2" t="inlineStr">
        <is>
          <t>Stellaer</t>
        </is>
      </c>
      <c r="I145" s="2" t="inlineStr">
        <is>
          <t>2025-05-01</t>
        </is>
      </c>
      <c r="J145" s="2" t="inlineStr">
        <is>
          <t>/assets/cards/Stellaer-of-the-Night.jpeg</t>
        </is>
      </c>
      <c r="K145" s="2" t="inlineStr">
        <is>
          <t>No</t>
        </is>
      </c>
      <c r="L145" s="2" t="inlineStr">
        <is>
          <t>No</t>
        </is>
      </c>
      <c r="M145" s="2" t="inlineStr">
        <is>
          <t>No</t>
        </is>
      </c>
      <c r="N145" s="2">
        <f>IF(AND($K145="Yes",$L145="Yes",$M145="Yes"),"Yes","No")</f>
        <v/>
      </c>
      <c r="O145" s="2" t="inlineStr"/>
    </row>
    <row r="146">
      <c r="A146" s="2" t="inlineStr">
        <is>
          <t>CARD-0146</t>
        </is>
      </c>
      <c r="B146" s="2" t="inlineStr">
        <is>
          <t>Stellaer of the Sea</t>
        </is>
      </c>
      <c r="C146" s="2" t="inlineStr">
        <is>
          <t>COOR</t>
        </is>
      </c>
      <c r="D146" s="2" t="inlineStr">
        <is>
          <t>0066</t>
        </is>
      </c>
      <c r="E146" s="2" t="inlineStr">
        <is>
          <t>Cosmic Origins</t>
        </is>
      </c>
      <c r="F146" s="2" t="inlineStr">
        <is>
          <t>Monster</t>
        </is>
      </c>
      <c r="G146" s="2" t="inlineStr">
        <is>
          <t>Dragon / Effect</t>
        </is>
      </c>
      <c r="H146" s="2" t="inlineStr">
        <is>
          <t>Stellaer</t>
        </is>
      </c>
      <c r="I146" s="2" t="inlineStr">
        <is>
          <t>2025-05-01</t>
        </is>
      </c>
      <c r="J146" s="2" t="inlineStr">
        <is>
          <t>/assets/cards/Stellaer-of-the-Sea.jpeg</t>
        </is>
      </c>
      <c r="K146" s="2" t="inlineStr">
        <is>
          <t>No</t>
        </is>
      </c>
      <c r="L146" s="2" t="inlineStr">
        <is>
          <t>No</t>
        </is>
      </c>
      <c r="M146" s="2" t="inlineStr">
        <is>
          <t>No</t>
        </is>
      </c>
      <c r="N146" s="2">
        <f>IF(AND($K146="Yes",$L146="Yes",$M146="Yes"),"Yes","No")</f>
        <v/>
      </c>
      <c r="O146" s="2" t="inlineStr"/>
    </row>
    <row r="147">
      <c r="A147" s="2" t="inlineStr">
        <is>
          <t>CARD-0147</t>
        </is>
      </c>
      <c r="B147" s="2" t="inlineStr">
        <is>
          <t>Stellaer of the Gems</t>
        </is>
      </c>
      <c r="C147" s="2" t="inlineStr">
        <is>
          <t>COOR</t>
        </is>
      </c>
      <c r="D147" s="2" t="inlineStr">
        <is>
          <t>0067</t>
        </is>
      </c>
      <c r="E147" s="2" t="inlineStr">
        <is>
          <t>Cosmic Origins</t>
        </is>
      </c>
      <c r="F147" s="2" t="inlineStr">
        <is>
          <t>Monster</t>
        </is>
      </c>
      <c r="G147" s="2" t="inlineStr">
        <is>
          <t>Dragon / Effect</t>
        </is>
      </c>
      <c r="H147" s="2" t="inlineStr">
        <is>
          <t>Stellaer</t>
        </is>
      </c>
      <c r="I147" s="2" t="inlineStr">
        <is>
          <t>2025-05-01</t>
        </is>
      </c>
      <c r="J147" s="2" t="inlineStr">
        <is>
          <t>/assets/cards/Stellaer-of-the-Gems.jpeg</t>
        </is>
      </c>
      <c r="K147" s="2" t="inlineStr">
        <is>
          <t>No</t>
        </is>
      </c>
      <c r="L147" s="2" t="inlineStr">
        <is>
          <t>No</t>
        </is>
      </c>
      <c r="M147" s="2" t="inlineStr">
        <is>
          <t>No</t>
        </is>
      </c>
      <c r="N147" s="2">
        <f>IF(AND($K147="Yes",$L147="Yes",$M147="Yes"),"Yes","No")</f>
        <v/>
      </c>
      <c r="O147" s="2" t="inlineStr"/>
    </row>
    <row r="148">
      <c r="A148" s="2" t="inlineStr">
        <is>
          <t>CARD-0148</t>
        </is>
      </c>
      <c r="B148" s="2" t="inlineStr">
        <is>
          <t>Stellaer of the Breeze</t>
        </is>
      </c>
      <c r="C148" s="2" t="inlineStr">
        <is>
          <t>COOR</t>
        </is>
      </c>
      <c r="D148" s="2" t="inlineStr">
        <is>
          <t>068</t>
        </is>
      </c>
      <c r="E148" s="2" t="inlineStr">
        <is>
          <t>Cosmic Origins</t>
        </is>
      </c>
      <c r="F148" s="2" t="inlineStr">
        <is>
          <t>Monster</t>
        </is>
      </c>
      <c r="G148" s="2" t="inlineStr">
        <is>
          <t>Dragon / Effect</t>
        </is>
      </c>
      <c r="H148" s="2" t="inlineStr">
        <is>
          <t>Stellaer</t>
        </is>
      </c>
      <c r="I148" s="2" t="inlineStr">
        <is>
          <t>2025-05-01</t>
        </is>
      </c>
      <c r="J148" s="2" t="inlineStr">
        <is>
          <t>/assets/cards/Stellaer-of-the-Breeze.jpeg</t>
        </is>
      </c>
      <c r="K148" s="2" t="inlineStr">
        <is>
          <t>No</t>
        </is>
      </c>
      <c r="L148" s="2" t="inlineStr">
        <is>
          <t>No</t>
        </is>
      </c>
      <c r="M148" s="2" t="inlineStr">
        <is>
          <t>No</t>
        </is>
      </c>
      <c r="N148" s="2">
        <f>IF(AND($K148="Yes",$L148="Yes",$M148="Yes"),"Yes","No")</f>
        <v/>
      </c>
      <c r="O148" s="2" t="inlineStr"/>
    </row>
    <row r="149">
      <c r="A149" s="2" t="inlineStr">
        <is>
          <t>CARD-0149</t>
        </is>
      </c>
      <c r="B149" s="2" t="inlineStr">
        <is>
          <t>Stellaer of the Volcanos</t>
        </is>
      </c>
      <c r="C149" s="2" t="inlineStr">
        <is>
          <t>COOR</t>
        </is>
      </c>
      <c r="D149" s="2" t="inlineStr">
        <is>
          <t>069</t>
        </is>
      </c>
      <c r="E149" s="2" t="inlineStr">
        <is>
          <t>Cosmic Origins</t>
        </is>
      </c>
      <c r="F149" s="2" t="inlineStr">
        <is>
          <t>Monster</t>
        </is>
      </c>
      <c r="G149" s="2" t="inlineStr">
        <is>
          <t>Dragon / Effect</t>
        </is>
      </c>
      <c r="H149" s="2" t="inlineStr">
        <is>
          <t>Stellaer</t>
        </is>
      </c>
      <c r="I149" s="2" t="inlineStr">
        <is>
          <t>2025-05-01</t>
        </is>
      </c>
      <c r="J149" s="2" t="inlineStr">
        <is>
          <t>/assets/cards/Stellaer-of-the-Volcanos.jpeg</t>
        </is>
      </c>
      <c r="K149" s="2" t="inlineStr">
        <is>
          <t>No</t>
        </is>
      </c>
      <c r="L149" s="2" t="inlineStr">
        <is>
          <t>No</t>
        </is>
      </c>
      <c r="M149" s="2" t="inlineStr">
        <is>
          <t>No</t>
        </is>
      </c>
      <c r="N149" s="2">
        <f>IF(AND($K149="Yes",$L149="Yes",$M149="Yes"),"Yes","No")</f>
        <v/>
      </c>
      <c r="O149" s="2" t="inlineStr"/>
    </row>
    <row r="150">
      <c r="A150" s="2" t="inlineStr">
        <is>
          <t>CARD-0150</t>
        </is>
      </c>
      <c r="B150" s="2" t="inlineStr">
        <is>
          <t>Pride of the Stellaers</t>
        </is>
      </c>
      <c r="C150" s="2" t="inlineStr">
        <is>
          <t>COOR</t>
        </is>
      </c>
      <c r="D150" s="2" t="inlineStr">
        <is>
          <t>070</t>
        </is>
      </c>
      <c r="E150" s="2" t="inlineStr">
        <is>
          <t>Cosmic Origins</t>
        </is>
      </c>
      <c r="F150" s="2" t="inlineStr">
        <is>
          <t>Spell</t>
        </is>
      </c>
      <c r="G150" s="2" t="inlineStr">
        <is>
          <t>Spell / Quick-Play</t>
        </is>
      </c>
      <c r="H150" s="2" t="inlineStr"/>
      <c r="I150" s="2" t="inlineStr">
        <is>
          <t>2025-05-01</t>
        </is>
      </c>
      <c r="J150" s="2" t="inlineStr">
        <is>
          <t>/assets/cards/Pride-of-the-Stellaers.jpeg</t>
        </is>
      </c>
      <c r="K150" s="2" t="inlineStr">
        <is>
          <t>No</t>
        </is>
      </c>
      <c r="L150" s="2" t="inlineStr">
        <is>
          <t>No</t>
        </is>
      </c>
      <c r="M150" s="2" t="inlineStr">
        <is>
          <t>No</t>
        </is>
      </c>
      <c r="N150" s="2">
        <f>IF(AND($K150="Yes",$L150="Yes",$M150="Yes"),"Yes","No")</f>
        <v/>
      </c>
      <c r="O150" s="2" t="inlineStr"/>
    </row>
    <row r="151">
      <c r="A151" s="2" t="inlineStr">
        <is>
          <t>CARD-0151</t>
        </is>
      </c>
      <c r="B151" s="2" t="inlineStr">
        <is>
          <t>A Stellaer is Reborn</t>
        </is>
      </c>
      <c r="C151" s="2" t="inlineStr">
        <is>
          <t>COOR</t>
        </is>
      </c>
      <c r="D151" s="2" t="inlineStr">
        <is>
          <t>071</t>
        </is>
      </c>
      <c r="E151" s="2" t="inlineStr">
        <is>
          <t>Cosmic Origins</t>
        </is>
      </c>
      <c r="F151" s="2" t="inlineStr">
        <is>
          <t>Spell</t>
        </is>
      </c>
      <c r="G151" s="2" t="inlineStr">
        <is>
          <t>Spell / Normal</t>
        </is>
      </c>
      <c r="H151" s="2" t="inlineStr"/>
      <c r="I151" s="2" t="inlineStr">
        <is>
          <t>2025-05-01</t>
        </is>
      </c>
      <c r="J151" s="2" t="inlineStr">
        <is>
          <t>/assets/cards/A-Stellaer-is-Reborn.jpeg</t>
        </is>
      </c>
      <c r="K151" s="2" t="inlineStr">
        <is>
          <t>No</t>
        </is>
      </c>
      <c r="L151" s="2" t="inlineStr">
        <is>
          <t>No</t>
        </is>
      </c>
      <c r="M151" s="2" t="inlineStr">
        <is>
          <t>No</t>
        </is>
      </c>
      <c r="N151" s="2">
        <f>IF(AND($K151="Yes",$L151="Yes",$M151="Yes"),"Yes","No")</f>
        <v/>
      </c>
      <c r="O151" s="2" t="inlineStr"/>
    </row>
    <row r="152">
      <c r="A152" s="2" t="inlineStr">
        <is>
          <t>CARD-0152</t>
        </is>
      </c>
      <c r="B152" s="2" t="inlineStr">
        <is>
          <t>Stellaer's Pain</t>
        </is>
      </c>
      <c r="C152" s="2" t="inlineStr">
        <is>
          <t>COOR</t>
        </is>
      </c>
      <c r="D152" s="2" t="inlineStr">
        <is>
          <t>072</t>
        </is>
      </c>
      <c r="E152" s="2" t="inlineStr">
        <is>
          <t>Cosmic Origins</t>
        </is>
      </c>
      <c r="F152" s="2" t="inlineStr">
        <is>
          <t>Trap</t>
        </is>
      </c>
      <c r="G152" s="2" t="inlineStr">
        <is>
          <t>Trap / Counter</t>
        </is>
      </c>
      <c r="H152" s="2" t="inlineStr"/>
      <c r="I152" s="2" t="inlineStr">
        <is>
          <t>2025-05-01</t>
        </is>
      </c>
      <c r="J152" s="2" t="inlineStr">
        <is>
          <t>/assets/cards/Stellaers-Pain.jpeg</t>
        </is>
      </c>
      <c r="K152" s="2" t="inlineStr">
        <is>
          <t>No</t>
        </is>
      </c>
      <c r="L152" s="2" t="inlineStr">
        <is>
          <t>No</t>
        </is>
      </c>
      <c r="M152" s="2" t="inlineStr">
        <is>
          <t>No</t>
        </is>
      </c>
      <c r="N152" s="2">
        <f>IF(AND($K152="Yes",$L152="Yes",$M152="Yes"),"Yes","No")</f>
        <v/>
      </c>
      <c r="O152" s="2" t="inlineStr"/>
    </row>
    <row r="153">
      <c r="A153" s="2" t="inlineStr">
        <is>
          <t>CARD-0153</t>
        </is>
      </c>
      <c r="B153" s="2" t="inlineStr">
        <is>
          <t>Stellaer of Lighting</t>
        </is>
      </c>
      <c r="C153" s="2" t="inlineStr">
        <is>
          <t>COOR</t>
        </is>
      </c>
      <c r="D153" s="2" t="inlineStr">
        <is>
          <t>073</t>
        </is>
      </c>
      <c r="E153" s="2" t="inlineStr">
        <is>
          <t>Cosmic Origins</t>
        </is>
      </c>
      <c r="F153" s="2" t="inlineStr">
        <is>
          <t>Monster</t>
        </is>
      </c>
      <c r="G153" s="2" t="inlineStr">
        <is>
          <t>Dragon / Xyz / Effect</t>
        </is>
      </c>
      <c r="H153" s="2" t="inlineStr">
        <is>
          <t>Stellaer</t>
        </is>
      </c>
      <c r="I153" s="2" t="inlineStr">
        <is>
          <t>2025-05-01</t>
        </is>
      </c>
      <c r="J153" s="2" t="inlineStr">
        <is>
          <t>/assets/cards/Stellar-of-Lightining.png</t>
        </is>
      </c>
      <c r="K153" s="2" t="inlineStr">
        <is>
          <t>No</t>
        </is>
      </c>
      <c r="L153" s="2" t="inlineStr">
        <is>
          <t>No</t>
        </is>
      </c>
      <c r="M153" s="2" t="inlineStr">
        <is>
          <t>No</t>
        </is>
      </c>
      <c r="N153" s="2">
        <f>IF(AND($K153="Yes",$L153="Yes",$M153="Yes"),"Yes","No")</f>
        <v/>
      </c>
      <c r="O153" s="2" t="inlineStr"/>
    </row>
    <row r="154">
      <c r="A154" s="2" t="inlineStr">
        <is>
          <t>CARD-0154</t>
        </is>
      </c>
      <c r="B154" s="2" t="inlineStr">
        <is>
          <t>Stellaer of the Flames</t>
        </is>
      </c>
      <c r="C154" s="2" t="inlineStr">
        <is>
          <t>COOR</t>
        </is>
      </c>
      <c r="D154" s="2" t="inlineStr">
        <is>
          <t>074</t>
        </is>
      </c>
      <c r="E154" s="2" t="inlineStr">
        <is>
          <t>Cosmic Origins</t>
        </is>
      </c>
      <c r="F154" s="2" t="inlineStr">
        <is>
          <t>Monster</t>
        </is>
      </c>
      <c r="G154" s="2" t="inlineStr">
        <is>
          <t>Dragon / Xyz / Effect</t>
        </is>
      </c>
      <c r="H154" s="2" t="inlineStr">
        <is>
          <t>Stellaer</t>
        </is>
      </c>
      <c r="I154" s="2" t="inlineStr">
        <is>
          <t>2025-05-01</t>
        </is>
      </c>
      <c r="J154" s="2" t="inlineStr">
        <is>
          <t>/assets/cards/Stellaer-of-the-Flames.jpeg</t>
        </is>
      </c>
      <c r="K154" s="2" t="inlineStr">
        <is>
          <t>No</t>
        </is>
      </c>
      <c r="L154" s="2" t="inlineStr">
        <is>
          <t>No</t>
        </is>
      </c>
      <c r="M154" s="2" t="inlineStr">
        <is>
          <t>No</t>
        </is>
      </c>
      <c r="N154" s="2">
        <f>IF(AND($K154="Yes",$L154="Yes",$M154="Yes"),"Yes","No")</f>
        <v/>
      </c>
      <c r="O154" s="2" t="inlineStr"/>
    </row>
    <row r="155">
      <c r="A155" s="2" t="inlineStr">
        <is>
          <t>CARD-0155</t>
        </is>
      </c>
      <c r="B155" s="2" t="inlineStr">
        <is>
          <t>Stellaer of the Waters</t>
        </is>
      </c>
      <c r="C155" s="2" t="inlineStr">
        <is>
          <t>COOR</t>
        </is>
      </c>
      <c r="D155" s="2" t="inlineStr">
        <is>
          <t>075</t>
        </is>
      </c>
      <c r="E155" s="2" t="inlineStr">
        <is>
          <t>Cosmic Origins</t>
        </is>
      </c>
      <c r="F155" s="2" t="inlineStr">
        <is>
          <t>Monster</t>
        </is>
      </c>
      <c r="G155" s="2" t="inlineStr">
        <is>
          <t>Dragon / Xyz / Effect</t>
        </is>
      </c>
      <c r="H155" s="2" t="inlineStr">
        <is>
          <t>Stellaer</t>
        </is>
      </c>
      <c r="I155" s="2" t="inlineStr">
        <is>
          <t>2025-05-01</t>
        </is>
      </c>
      <c r="J155" s="2" t="inlineStr">
        <is>
          <t>/assets/cards/Stellaer-of-the-Waters.jpeg</t>
        </is>
      </c>
      <c r="K155" s="2" t="inlineStr">
        <is>
          <t>No</t>
        </is>
      </c>
      <c r="L155" s="2" t="inlineStr">
        <is>
          <t>No</t>
        </is>
      </c>
      <c r="M155" s="2" t="inlineStr">
        <is>
          <t>No</t>
        </is>
      </c>
      <c r="N155" s="2">
        <f>IF(AND($K155="Yes",$L155="Yes",$M155="Yes"),"Yes","No")</f>
        <v/>
      </c>
      <c r="O155" s="2" t="inlineStr"/>
    </row>
    <row r="156">
      <c r="A156" s="2" t="inlineStr">
        <is>
          <t>CARD-0156</t>
        </is>
      </c>
      <c r="B156" s="2" t="inlineStr">
        <is>
          <t>Stellaer of the Air</t>
        </is>
      </c>
      <c r="C156" s="2" t="inlineStr">
        <is>
          <t>COOR</t>
        </is>
      </c>
      <c r="D156" s="2" t="inlineStr">
        <is>
          <t>076</t>
        </is>
      </c>
      <c r="E156" s="2" t="inlineStr">
        <is>
          <t>Cosmic Origins</t>
        </is>
      </c>
      <c r="F156" s="2" t="inlineStr">
        <is>
          <t>Monster</t>
        </is>
      </c>
      <c r="G156" s="2" t="inlineStr">
        <is>
          <t>Dragon / Xyz / Effect</t>
        </is>
      </c>
      <c r="H156" s="2" t="inlineStr">
        <is>
          <t>Stellaer</t>
        </is>
      </c>
      <c r="I156" s="2" t="inlineStr">
        <is>
          <t>2025-05-01</t>
        </is>
      </c>
      <c r="J156" s="2" t="inlineStr">
        <is>
          <t>/assets/cards/Stellaer-of-the-Air.jpeg</t>
        </is>
      </c>
      <c r="K156" s="2" t="inlineStr">
        <is>
          <t>No</t>
        </is>
      </c>
      <c r="L156" s="2" t="inlineStr">
        <is>
          <t>No</t>
        </is>
      </c>
      <c r="M156" s="2" t="inlineStr">
        <is>
          <t>No</t>
        </is>
      </c>
      <c r="N156" s="2">
        <f>IF(AND($K156="Yes",$L156="Yes",$M156="Yes"),"Yes","No")</f>
        <v/>
      </c>
      <c r="O156" s="2" t="inlineStr"/>
    </row>
    <row r="157">
      <c r="A157" s="2" t="inlineStr">
        <is>
          <t>CARD-0157</t>
        </is>
      </c>
      <c r="B157" s="2" t="inlineStr">
        <is>
          <t>Stellaer of the Darkness</t>
        </is>
      </c>
      <c r="C157" s="2" t="inlineStr">
        <is>
          <t>COOR</t>
        </is>
      </c>
      <c r="D157" s="2" t="inlineStr">
        <is>
          <t>077</t>
        </is>
      </c>
      <c r="E157" s="2" t="inlineStr">
        <is>
          <t>Cosmic Origins</t>
        </is>
      </c>
      <c r="F157" s="2" t="inlineStr">
        <is>
          <t>Monster</t>
        </is>
      </c>
      <c r="G157" s="2" t="inlineStr">
        <is>
          <t>Dragon / Xyz / Effect</t>
        </is>
      </c>
      <c r="H157" s="2" t="inlineStr">
        <is>
          <t>Stellaer</t>
        </is>
      </c>
      <c r="I157" s="2" t="inlineStr">
        <is>
          <t>2025-05-01</t>
        </is>
      </c>
      <c r="J157" s="2" t="inlineStr">
        <is>
          <t>/assets/cards/Stellaer-of-the-Darkness.jpeg</t>
        </is>
      </c>
      <c r="K157" s="2" t="inlineStr">
        <is>
          <t>No</t>
        </is>
      </c>
      <c r="L157" s="2" t="inlineStr">
        <is>
          <t>No</t>
        </is>
      </c>
      <c r="M157" s="2" t="inlineStr">
        <is>
          <t>No</t>
        </is>
      </c>
      <c r="N157" s="2">
        <f>IF(AND($K157="Yes",$L157="Yes",$M157="Yes"),"Yes","No")</f>
        <v/>
      </c>
      <c r="O157" s="2" t="inlineStr"/>
    </row>
    <row r="158">
      <c r="A158" s="2" t="inlineStr">
        <is>
          <t>CARD-0158</t>
        </is>
      </c>
      <c r="B158" s="2" t="inlineStr">
        <is>
          <t>Stellaer of Purity</t>
        </is>
      </c>
      <c r="C158" s="2" t="inlineStr">
        <is>
          <t>COOR</t>
        </is>
      </c>
      <c r="D158" s="2" t="inlineStr">
        <is>
          <t>078</t>
        </is>
      </c>
      <c r="E158" s="2" t="inlineStr">
        <is>
          <t>Cosmic Origins</t>
        </is>
      </c>
      <c r="F158" s="2" t="inlineStr">
        <is>
          <t>Monster</t>
        </is>
      </c>
      <c r="G158" s="2" t="inlineStr">
        <is>
          <t>Dragon / Xyz / Effect</t>
        </is>
      </c>
      <c r="H158" s="2" t="inlineStr">
        <is>
          <t>Stellaer</t>
        </is>
      </c>
      <c r="I158" s="2" t="inlineStr">
        <is>
          <t>2025-05-01</t>
        </is>
      </c>
      <c r="J158" s="2" t="inlineStr">
        <is>
          <t>/assets/cards/Stellaer-of-Purity.jpeg</t>
        </is>
      </c>
      <c r="K158" s="2" t="inlineStr">
        <is>
          <t>No</t>
        </is>
      </c>
      <c r="L158" s="2" t="inlineStr">
        <is>
          <t>No</t>
        </is>
      </c>
      <c r="M158" s="2" t="inlineStr">
        <is>
          <t>No</t>
        </is>
      </c>
      <c r="N158" s="2">
        <f>IF(AND($K158="Yes",$L158="Yes",$M158="Yes"),"Yes","No")</f>
        <v/>
      </c>
      <c r="O158" s="2" t="inlineStr"/>
    </row>
    <row r="159">
      <c r="A159" s="2" t="inlineStr">
        <is>
          <t>CARD-0159</t>
        </is>
      </c>
      <c r="B159" s="2" t="inlineStr">
        <is>
          <t>Stellaer of the Ground</t>
        </is>
      </c>
      <c r="C159" s="2" t="inlineStr">
        <is>
          <t>COOR</t>
        </is>
      </c>
      <c r="D159" s="2" t="inlineStr">
        <is>
          <t>079</t>
        </is>
      </c>
      <c r="E159" s="2" t="inlineStr">
        <is>
          <t>Cosmic Origins</t>
        </is>
      </c>
      <c r="F159" s="2" t="inlineStr">
        <is>
          <t>Monster</t>
        </is>
      </c>
      <c r="G159" s="2" t="inlineStr">
        <is>
          <t>Dragon / Xyz / Effect</t>
        </is>
      </c>
      <c r="H159" s="2" t="inlineStr">
        <is>
          <t>Stellaer</t>
        </is>
      </c>
      <c r="I159" s="2" t="inlineStr">
        <is>
          <t>2025-05-01</t>
        </is>
      </c>
      <c r="J159" s="2" t="inlineStr">
        <is>
          <t>/assets/cards/Stellaer-of-the-Ground.jpeg</t>
        </is>
      </c>
      <c r="K159" s="2" t="inlineStr">
        <is>
          <t>No</t>
        </is>
      </c>
      <c r="L159" s="2" t="inlineStr">
        <is>
          <t>No</t>
        </is>
      </c>
      <c r="M159" s="2" t="inlineStr">
        <is>
          <t>No</t>
        </is>
      </c>
      <c r="N159" s="2">
        <f>IF(AND($K159="Yes",$L159="Yes",$M159="Yes"),"Yes","No")</f>
        <v/>
      </c>
      <c r="O159" s="2" t="inlineStr"/>
    </row>
    <row r="160">
      <c r="A160" s="2" t="inlineStr">
        <is>
          <t>CARD-0160</t>
        </is>
      </c>
      <c r="B160" s="2" t="inlineStr">
        <is>
          <t>Birth of Azrynior</t>
        </is>
      </c>
      <c r="C160" s="2" t="inlineStr">
        <is>
          <t>COOR</t>
        </is>
      </c>
      <c r="D160" s="2" t="inlineStr">
        <is>
          <t>080</t>
        </is>
      </c>
      <c r="E160" s="2" t="inlineStr">
        <is>
          <t>Cosmic Origins</t>
        </is>
      </c>
      <c r="F160" s="2" t="inlineStr">
        <is>
          <t>Spell</t>
        </is>
      </c>
      <c r="G160" s="2" t="inlineStr">
        <is>
          <t>Spell / Normal</t>
        </is>
      </c>
      <c r="H160" s="2" t="inlineStr"/>
      <c r="I160" s="2" t="inlineStr">
        <is>
          <t>2025-05-01</t>
        </is>
      </c>
      <c r="J160" s="2" t="inlineStr">
        <is>
          <t>/assets/cards/Birth_of_Azrynior.jpeg</t>
        </is>
      </c>
      <c r="K160" s="2" t="inlineStr">
        <is>
          <t>No</t>
        </is>
      </c>
      <c r="L160" s="2" t="inlineStr">
        <is>
          <t>No</t>
        </is>
      </c>
      <c r="M160" s="2" t="inlineStr">
        <is>
          <t>No</t>
        </is>
      </c>
      <c r="N160" s="2">
        <f>IF(AND($K160="Yes",$L160="Yes",$M160="Yes"),"Yes","No")</f>
        <v/>
      </c>
      <c r="O160" s="2" t="inlineStr"/>
    </row>
    <row r="161">
      <c r="A161" s="2" t="inlineStr">
        <is>
          <t>CARD-0161</t>
        </is>
      </c>
      <c r="B161" s="2" t="inlineStr">
        <is>
          <t>Fall of Azrynior</t>
        </is>
      </c>
      <c r="C161" s="2" t="inlineStr">
        <is>
          <t>COOR</t>
        </is>
      </c>
      <c r="D161" s="2" t="inlineStr">
        <is>
          <t>081</t>
        </is>
      </c>
      <c r="E161" s="2" t="inlineStr">
        <is>
          <t>Cosmic Origins</t>
        </is>
      </c>
      <c r="F161" s="2" t="inlineStr">
        <is>
          <t>Spell</t>
        </is>
      </c>
      <c r="G161" s="2" t="inlineStr">
        <is>
          <t>Spell / Normal</t>
        </is>
      </c>
      <c r="H161" s="2" t="inlineStr"/>
      <c r="I161" s="2" t="inlineStr">
        <is>
          <t>2025-05-01</t>
        </is>
      </c>
      <c r="J161" s="2" t="inlineStr">
        <is>
          <t>/assets/cards/Fall-of-Azrynior.jpeg</t>
        </is>
      </c>
      <c r="K161" s="2" t="inlineStr">
        <is>
          <t>No</t>
        </is>
      </c>
      <c r="L161" s="2" t="inlineStr">
        <is>
          <t>No</t>
        </is>
      </c>
      <c r="M161" s="2" t="inlineStr">
        <is>
          <t>No</t>
        </is>
      </c>
      <c r="N161" s="2">
        <f>IF(AND($K161="Yes",$L161="Yes",$M161="Yes"),"Yes","No")</f>
        <v/>
      </c>
      <c r="O161" s="2" t="inlineStr"/>
    </row>
    <row r="162">
      <c r="A162" s="2" t="inlineStr">
        <is>
          <t>CARD-0162</t>
        </is>
      </c>
      <c r="B162" s="2" t="inlineStr">
        <is>
          <t>Restoration of Azrynior</t>
        </is>
      </c>
      <c r="C162" s="2" t="inlineStr">
        <is>
          <t>COOR</t>
        </is>
      </c>
      <c r="D162" s="2" t="inlineStr">
        <is>
          <t>082</t>
        </is>
      </c>
      <c r="E162" s="2" t="inlineStr">
        <is>
          <t>Cosmic Origins</t>
        </is>
      </c>
      <c r="F162" s="2" t="inlineStr">
        <is>
          <t>Trap</t>
        </is>
      </c>
      <c r="G162" s="2" t="inlineStr">
        <is>
          <t>Trap / Continuous</t>
        </is>
      </c>
      <c r="H162" s="2" t="inlineStr"/>
      <c r="I162" s="2" t="inlineStr">
        <is>
          <t>2025-05-01</t>
        </is>
      </c>
      <c r="J162" s="2" t="inlineStr">
        <is>
          <t>/assets/cards/Restoration_of_Azrynior.jpeg</t>
        </is>
      </c>
      <c r="K162" s="2" t="inlineStr">
        <is>
          <t>No</t>
        </is>
      </c>
      <c r="L162" s="2" t="inlineStr">
        <is>
          <t>No</t>
        </is>
      </c>
      <c r="M162" s="2" t="inlineStr">
        <is>
          <t>No</t>
        </is>
      </c>
      <c r="N162" s="2">
        <f>IF(AND($K162="Yes",$L162="Yes",$M162="Yes"),"Yes","No")</f>
        <v/>
      </c>
      <c r="O162" s="2" t="inlineStr"/>
    </row>
    <row r="163">
      <c r="A163" s="2" t="inlineStr">
        <is>
          <t>CARD-0163</t>
        </is>
      </c>
      <c r="B163" s="2" t="inlineStr">
        <is>
          <t>Azrynior, the Abundaence of Purity</t>
        </is>
      </c>
      <c r="C163" s="2" t="inlineStr">
        <is>
          <t>COOR</t>
        </is>
      </c>
      <c r="D163" s="2" t="inlineStr">
        <is>
          <t>083</t>
        </is>
      </c>
      <c r="E163" s="2" t="inlineStr">
        <is>
          <t>Cosmic Origins</t>
        </is>
      </c>
      <c r="F163" s="2" t="inlineStr">
        <is>
          <t>Monster</t>
        </is>
      </c>
      <c r="G163" s="2" t="inlineStr">
        <is>
          <t>Dragon / Fusion / Effect</t>
        </is>
      </c>
      <c r="H163" s="2" t="inlineStr">
        <is>
          <t>Stellaer</t>
        </is>
      </c>
      <c r="I163" s="2" t="inlineStr">
        <is>
          <t>2025-05-01</t>
        </is>
      </c>
      <c r="J163" s="2" t="inlineStr">
        <is>
          <t>/assets/cards/Azrynior_the_Abundaence_of_Purity.jpeg</t>
        </is>
      </c>
      <c r="K163" s="2" t="inlineStr">
        <is>
          <t>No</t>
        </is>
      </c>
      <c r="L163" s="2" t="inlineStr">
        <is>
          <t>No</t>
        </is>
      </c>
      <c r="M163" s="2" t="inlineStr">
        <is>
          <t>No</t>
        </is>
      </c>
      <c r="N163" s="2">
        <f>IF(AND($K163="Yes",$L163="Yes",$M163="Yes"),"Yes","No")</f>
        <v/>
      </c>
      <c r="O163" s="2" t="inlineStr"/>
    </row>
    <row r="164">
      <c r="A164" s="2" t="inlineStr">
        <is>
          <t>CARD-0164</t>
        </is>
      </c>
      <c r="B164" s="2" t="inlineStr">
        <is>
          <t>Dysmandr, the Depraevity of Worlds</t>
        </is>
      </c>
      <c r="C164" s="2" t="inlineStr">
        <is>
          <t>COOR</t>
        </is>
      </c>
      <c r="D164" s="2" t="inlineStr">
        <is>
          <t>084</t>
        </is>
      </c>
      <c r="E164" s="2" t="inlineStr">
        <is>
          <t>Cosmic Origins</t>
        </is>
      </c>
      <c r="F164" s="2" t="inlineStr">
        <is>
          <t>Monster</t>
        </is>
      </c>
      <c r="G164" s="2" t="inlineStr">
        <is>
          <t>Dragon / Fusion / Effect</t>
        </is>
      </c>
      <c r="H164" s="2" t="inlineStr">
        <is>
          <t>Dysmandr</t>
        </is>
      </c>
      <c r="I164" s="2" t="inlineStr">
        <is>
          <t>2025-05-01</t>
        </is>
      </c>
      <c r="J164" s="2" t="inlineStr">
        <is>
          <t>/assets/cards/Dysmandr_the_Depraevity_of_Worlds.jpeg</t>
        </is>
      </c>
      <c r="K164" s="2" t="inlineStr">
        <is>
          <t>No</t>
        </is>
      </c>
      <c r="L164" s="2" t="inlineStr">
        <is>
          <t>No</t>
        </is>
      </c>
      <c r="M164" s="2" t="inlineStr">
        <is>
          <t>No</t>
        </is>
      </c>
      <c r="N164" s="2">
        <f>IF(AND($K164="Yes",$L164="Yes",$M164="Yes"),"Yes","No")</f>
        <v/>
      </c>
      <c r="O164" s="2" t="inlineStr"/>
    </row>
    <row r="165">
      <c r="A165" s="2" t="inlineStr">
        <is>
          <t>CARD-0165</t>
        </is>
      </c>
      <c r="B165" s="2" t="inlineStr">
        <is>
          <t>Extinction of Dysmandr</t>
        </is>
      </c>
      <c r="C165" s="2" t="inlineStr">
        <is>
          <t>COOR</t>
        </is>
      </c>
      <c r="D165" s="2" t="inlineStr">
        <is>
          <t>085</t>
        </is>
      </c>
      <c r="E165" s="2" t="inlineStr">
        <is>
          <t>Cosmic Origins</t>
        </is>
      </c>
      <c r="F165" s="2" t="inlineStr">
        <is>
          <t>Trap</t>
        </is>
      </c>
      <c r="G165" s="2" t="inlineStr">
        <is>
          <t>Trap / Continuous</t>
        </is>
      </c>
      <c r="H165" s="2" t="inlineStr">
        <is>
          <t>Dysmandr</t>
        </is>
      </c>
      <c r="I165" s="2" t="inlineStr">
        <is>
          <t>2025-05-01</t>
        </is>
      </c>
      <c r="J165" s="2" t="inlineStr">
        <is>
          <t>/assets/cards/Extinction_of_Dysmandr.jpeg</t>
        </is>
      </c>
      <c r="K165" s="2" t="inlineStr">
        <is>
          <t>No</t>
        </is>
      </c>
      <c r="L165" s="2" t="inlineStr">
        <is>
          <t>No</t>
        </is>
      </c>
      <c r="M165" s="2" t="inlineStr">
        <is>
          <t>No</t>
        </is>
      </c>
      <c r="N165" s="2">
        <f>IF(AND($K165="Yes",$L165="Yes",$M165="Yes"),"Yes","No")</f>
        <v/>
      </c>
      <c r="O165" s="2" t="inlineStr"/>
    </row>
    <row r="166">
      <c r="A166" s="2" t="inlineStr">
        <is>
          <t>CARD-0166</t>
        </is>
      </c>
      <c r="B166" s="2" t="inlineStr">
        <is>
          <t>Eldora, the Intergalactic Empire</t>
        </is>
      </c>
      <c r="C166" s="2" t="inlineStr">
        <is>
          <t>COOR</t>
        </is>
      </c>
      <c r="D166" s="2" t="inlineStr">
        <is>
          <t>086</t>
        </is>
      </c>
      <c r="E166" s="2" t="inlineStr">
        <is>
          <t>Cosmic Origins</t>
        </is>
      </c>
      <c r="F166" s="2" t="inlineStr">
        <is>
          <t>Spell</t>
        </is>
      </c>
      <c r="G166" s="2" t="inlineStr">
        <is>
          <t>Spell / Field</t>
        </is>
      </c>
      <c r="H166" s="2" t="inlineStr">
        <is>
          <t>Eldora</t>
        </is>
      </c>
      <c r="I166" s="2" t="inlineStr">
        <is>
          <t>2025-05-01</t>
        </is>
      </c>
      <c r="J166" s="2" t="inlineStr">
        <is>
          <t>/assets/cards/Eldora-the-Intergalactic-Empire.jpeg</t>
        </is>
      </c>
      <c r="K166" s="2" t="inlineStr">
        <is>
          <t>No</t>
        </is>
      </c>
      <c r="L166" s="2" t="inlineStr">
        <is>
          <t>No</t>
        </is>
      </c>
      <c r="M166" s="2" t="inlineStr">
        <is>
          <t>No</t>
        </is>
      </c>
      <c r="N166" s="2">
        <f>IF(AND($K166="Yes",$L166="Yes",$M166="Yes"),"Yes","No")</f>
        <v/>
      </c>
      <c r="O166" s="2" t="inlineStr"/>
    </row>
    <row r="167">
      <c r="A167" s="2" t="inlineStr">
        <is>
          <t>CARD-0167</t>
        </is>
      </c>
      <c r="B167" s="2" t="inlineStr">
        <is>
          <t>Eldora in Depraevity</t>
        </is>
      </c>
      <c r="C167" s="2" t="inlineStr">
        <is>
          <t>COOR</t>
        </is>
      </c>
      <c r="D167" s="2" t="inlineStr">
        <is>
          <t>087</t>
        </is>
      </c>
      <c r="E167" s="2" t="inlineStr">
        <is>
          <t>Cosmic Origins</t>
        </is>
      </c>
      <c r="F167" s="2" t="inlineStr">
        <is>
          <t>Spell</t>
        </is>
      </c>
      <c r="G167" s="2" t="inlineStr">
        <is>
          <t>Spell / Quick-Play</t>
        </is>
      </c>
      <c r="H167" s="2" t="inlineStr">
        <is>
          <t>Eldora</t>
        </is>
      </c>
      <c r="I167" s="2" t="inlineStr">
        <is>
          <t>2025-05-01</t>
        </is>
      </c>
      <c r="J167" s="2" t="inlineStr">
        <is>
          <t>/assets/cards/Eldora_in_Depraevity.jpeg</t>
        </is>
      </c>
      <c r="K167" s="2" t="inlineStr">
        <is>
          <t>No</t>
        </is>
      </c>
      <c r="L167" s="2" t="inlineStr">
        <is>
          <t>No</t>
        </is>
      </c>
      <c r="M167" s="2" t="inlineStr">
        <is>
          <t>No</t>
        </is>
      </c>
      <c r="N167" s="2">
        <f>IF(AND($K167="Yes",$L167="Yes",$M167="Yes"),"Yes","No")</f>
        <v/>
      </c>
      <c r="O167" s="2" t="inlineStr"/>
    </row>
    <row r="168">
      <c r="A168" s="2" t="inlineStr">
        <is>
          <t>CARD-0168</t>
        </is>
      </c>
      <c r="B168" s="2" t="inlineStr">
        <is>
          <t>Frozen Girl &amp; Blood Moon</t>
        </is>
      </c>
      <c r="C168" s="2" t="inlineStr">
        <is>
          <t>COOR</t>
        </is>
      </c>
      <c r="D168" s="2" t="inlineStr">
        <is>
          <t>088</t>
        </is>
      </c>
      <c r="E168" s="2" t="inlineStr">
        <is>
          <t>Cosmic Origins</t>
        </is>
      </c>
      <c r="F168" s="2" t="inlineStr">
        <is>
          <t>Monster</t>
        </is>
      </c>
      <c r="G168" s="2" t="inlineStr">
        <is>
          <t>Zombie / Tuner / Effect</t>
        </is>
      </c>
      <c r="H168" s="2" t="inlineStr"/>
      <c r="I168" s="2" t="inlineStr">
        <is>
          <t>2025-05-01</t>
        </is>
      </c>
      <c r="J168" s="2" t="inlineStr">
        <is>
          <t>/assets/cards/Frozen-Girl-and-Blood-Moon.jpeg</t>
        </is>
      </c>
      <c r="K168" s="2" t="inlineStr">
        <is>
          <t>No</t>
        </is>
      </c>
      <c r="L168" s="2" t="inlineStr">
        <is>
          <t>No</t>
        </is>
      </c>
      <c r="M168" s="2" t="inlineStr">
        <is>
          <t>No</t>
        </is>
      </c>
      <c r="N168" s="2">
        <f>IF(AND($K168="Yes",$L168="Yes",$M168="Yes"),"Yes","No")</f>
        <v/>
      </c>
      <c r="O168" s="2" t="inlineStr"/>
    </row>
    <row r="169">
      <c r="A169" s="2" t="inlineStr">
        <is>
          <t>CARD-0169</t>
        </is>
      </c>
      <c r="B169" s="2" t="inlineStr">
        <is>
          <t>Ghost Doll &amp; Midnight Manor</t>
        </is>
      </c>
      <c r="C169" s="2" t="inlineStr">
        <is>
          <t>COOR</t>
        </is>
      </c>
      <c r="D169" s="2" t="inlineStr">
        <is>
          <t>089</t>
        </is>
      </c>
      <c r="E169" s="2" t="inlineStr">
        <is>
          <t>Cosmic Origins</t>
        </is>
      </c>
      <c r="F169" s="2" t="inlineStr">
        <is>
          <t>Monster</t>
        </is>
      </c>
      <c r="G169" s="2" t="inlineStr">
        <is>
          <t>Zombie / Tuner / Effect</t>
        </is>
      </c>
      <c r="H169" s="2" t="inlineStr"/>
      <c r="I169" s="2" t="inlineStr">
        <is>
          <t>2025-05-01</t>
        </is>
      </c>
      <c r="J169" s="2" t="inlineStr">
        <is>
          <t>/assets/cards/Ghost-Doll-and-Midnight-Manor.jpeg</t>
        </is>
      </c>
      <c r="K169" s="2" t="inlineStr">
        <is>
          <t>No</t>
        </is>
      </c>
      <c r="L169" s="2" t="inlineStr">
        <is>
          <t>No</t>
        </is>
      </c>
      <c r="M169" s="2" t="inlineStr">
        <is>
          <t>No</t>
        </is>
      </c>
      <c r="N169" s="2">
        <f>IF(AND($K169="Yes",$L169="Yes",$M169="Yes"),"Yes","No")</f>
        <v/>
      </c>
      <c r="O169" s="2" t="inlineStr"/>
    </row>
    <row r="170">
      <c r="A170" s="2" t="inlineStr">
        <is>
          <t>CARD-0170</t>
        </is>
      </c>
      <c r="B170" s="2" t="inlineStr">
        <is>
          <t>Dominus Sentinel</t>
        </is>
      </c>
      <c r="C170" s="2" t="inlineStr">
        <is>
          <t>COOR</t>
        </is>
      </c>
      <c r="D170" s="2" t="inlineStr">
        <is>
          <t>090</t>
        </is>
      </c>
      <c r="E170" s="2" t="inlineStr">
        <is>
          <t>Cosmic Origins</t>
        </is>
      </c>
      <c r="F170" s="2" t="inlineStr">
        <is>
          <t>Trap</t>
        </is>
      </c>
      <c r="G170" s="2" t="inlineStr">
        <is>
          <t>Trap / Normal</t>
        </is>
      </c>
      <c r="H170" s="2" t="inlineStr"/>
      <c r="I170" s="2" t="inlineStr">
        <is>
          <t>2025-05-01</t>
        </is>
      </c>
      <c r="J170" s="2" t="inlineStr">
        <is>
          <t>/assets/cards/DOMINUS-SENTINEL.jpeg</t>
        </is>
      </c>
      <c r="K170" s="2" t="inlineStr">
        <is>
          <t>No</t>
        </is>
      </c>
      <c r="L170" s="2" t="inlineStr">
        <is>
          <t>No</t>
        </is>
      </c>
      <c r="M170" s="2" t="inlineStr">
        <is>
          <t>No</t>
        </is>
      </c>
      <c r="N170" s="2">
        <f>IF(AND($K170="Yes",$L170="Yes",$M170="Yes"),"Yes","No")</f>
        <v/>
      </c>
      <c r="O170" s="2" t="inlineStr"/>
    </row>
    <row r="171">
      <c r="A171" s="2" t="inlineStr">
        <is>
          <t>CARD-0171</t>
        </is>
      </c>
      <c r="B171" s="2" t="inlineStr">
        <is>
          <t>Clock of Aldrez</t>
        </is>
      </c>
      <c r="C171" s="2" t="inlineStr">
        <is>
          <t>DAEL</t>
        </is>
      </c>
      <c r="D171" s="2" t="inlineStr">
        <is>
          <t>001</t>
        </is>
      </c>
      <c r="E171" s="2" t="inlineStr">
        <is>
          <t>Dawn of the Elements</t>
        </is>
      </c>
      <c r="F171" s="2" t="inlineStr">
        <is>
          <t>Monster</t>
        </is>
      </c>
      <c r="G171" s="2" t="inlineStr">
        <is>
          <t>Spellcaster / Effect</t>
        </is>
      </c>
      <c r="H171" s="2" t="inlineStr">
        <is>
          <t>Aldrez</t>
        </is>
      </c>
      <c r="I171" s="2" t="inlineStr">
        <is>
          <t>2025-07-22</t>
        </is>
      </c>
      <c r="J171" s="2" t="inlineStr">
        <is>
          <t>/assets/cards/Clock_of_Aldrez.jpeg</t>
        </is>
      </c>
      <c r="K171" s="2" t="inlineStr">
        <is>
          <t>No</t>
        </is>
      </c>
      <c r="L171" s="2" t="inlineStr">
        <is>
          <t>No</t>
        </is>
      </c>
      <c r="M171" s="2" t="inlineStr">
        <is>
          <t>No</t>
        </is>
      </c>
      <c r="N171" s="2">
        <f>IF(AND($K171="Yes",$L171="Yes",$M171="Yes"),"Yes","No")</f>
        <v/>
      </c>
      <c r="O171" s="2" t="inlineStr"/>
    </row>
    <row r="172">
      <c r="A172" s="2" t="inlineStr">
        <is>
          <t>CARD-0172</t>
        </is>
      </c>
      <c r="B172" s="2" t="inlineStr">
        <is>
          <t>Aldrez Grandmaster</t>
        </is>
      </c>
      <c r="C172" s="2" t="inlineStr">
        <is>
          <t>DAEL</t>
        </is>
      </c>
      <c r="D172" s="2" t="inlineStr">
        <is>
          <t>002</t>
        </is>
      </c>
      <c r="E172" s="2" t="inlineStr">
        <is>
          <t>Dawn of the Elements</t>
        </is>
      </c>
      <c r="F172" s="2" t="inlineStr">
        <is>
          <t>Spell</t>
        </is>
      </c>
      <c r="G172" s="2" t="inlineStr">
        <is>
          <t>Spell / Field</t>
        </is>
      </c>
      <c r="H172" s="2" t="inlineStr">
        <is>
          <t>Aldrez</t>
        </is>
      </c>
      <c r="I172" s="2" t="inlineStr">
        <is>
          <t>2025-07-22</t>
        </is>
      </c>
      <c r="J172" s="2" t="inlineStr">
        <is>
          <t>/assets/cards/Aldrez_Grandmaster.jpeg</t>
        </is>
      </c>
      <c r="K172" s="2" t="inlineStr">
        <is>
          <t>No</t>
        </is>
      </c>
      <c r="L172" s="2" t="inlineStr">
        <is>
          <t>No</t>
        </is>
      </c>
      <c r="M172" s="2" t="inlineStr">
        <is>
          <t>No</t>
        </is>
      </c>
      <c r="N172" s="2">
        <f>IF(AND($K172="Yes",$L172="Yes",$M172="Yes"),"Yes","No")</f>
        <v/>
      </c>
      <c r="O172" s="2" t="inlineStr"/>
    </row>
    <row r="173">
      <c r="A173" s="2" t="inlineStr">
        <is>
          <t>CARD-0173</t>
        </is>
      </c>
      <c r="B173" s="2" t="inlineStr">
        <is>
          <t>Phantasm Spiral Resurgence</t>
        </is>
      </c>
      <c r="C173" s="2" t="inlineStr">
        <is>
          <t>DAEL</t>
        </is>
      </c>
      <c r="D173" s="2" t="inlineStr">
        <is>
          <t>003</t>
        </is>
      </c>
      <c r="E173" s="2" t="inlineStr">
        <is>
          <t>Dawn of the Elements</t>
        </is>
      </c>
      <c r="F173" s="2" t="inlineStr">
        <is>
          <t>Spell</t>
        </is>
      </c>
      <c r="G173" s="2" t="inlineStr">
        <is>
          <t>Spell / Equip</t>
        </is>
      </c>
      <c r="H173" s="2" t="inlineStr">
        <is>
          <t>Phantasm Spiral</t>
        </is>
      </c>
      <c r="I173" s="2" t="inlineStr">
        <is>
          <t>2025-07-22</t>
        </is>
      </c>
      <c r="J173" s="2" t="inlineStr">
        <is>
          <t>/assets/cards/Phantasm_Spiral_Resurgence.jpeg</t>
        </is>
      </c>
      <c r="K173" s="2" t="inlineStr">
        <is>
          <t>No</t>
        </is>
      </c>
      <c r="L173" s="2" t="inlineStr">
        <is>
          <t>No</t>
        </is>
      </c>
      <c r="M173" s="2" t="inlineStr">
        <is>
          <t>No</t>
        </is>
      </c>
      <c r="N173" s="2">
        <f>IF(AND($K173="Yes",$L173="Yes",$M173="Yes"),"Yes","No")</f>
        <v/>
      </c>
      <c r="O173" s="2" t="inlineStr"/>
    </row>
    <row r="174">
      <c r="A174" s="2" t="inlineStr">
        <is>
          <t>CARD-0174</t>
        </is>
      </c>
      <c r="B174" s="2" t="inlineStr">
        <is>
          <t>Phantasm Spiral Shrine</t>
        </is>
      </c>
      <c r="C174" s="2" t="inlineStr">
        <is>
          <t>DAEL</t>
        </is>
      </c>
      <c r="D174" s="2" t="inlineStr">
        <is>
          <t>004</t>
        </is>
      </c>
      <c r="E174" s="2" t="inlineStr">
        <is>
          <t>Dawn of the Elements</t>
        </is>
      </c>
      <c r="F174" s="2" t="inlineStr">
        <is>
          <t>Spell</t>
        </is>
      </c>
      <c r="G174" s="2" t="inlineStr">
        <is>
          <t>Spell / Normal</t>
        </is>
      </c>
      <c r="H174" s="2" t="inlineStr">
        <is>
          <t>Phantasm Spiral</t>
        </is>
      </c>
      <c r="I174" s="2" t="inlineStr">
        <is>
          <t>2025-07-22</t>
        </is>
      </c>
      <c r="J174" s="2" t="inlineStr">
        <is>
          <t>/assets/cards/Phantasm_Spiral_Shrine.jpeg</t>
        </is>
      </c>
      <c r="K174" s="2" t="inlineStr">
        <is>
          <t>No</t>
        </is>
      </c>
      <c r="L174" s="2" t="inlineStr">
        <is>
          <t>No</t>
        </is>
      </c>
      <c r="M174" s="2" t="inlineStr">
        <is>
          <t>No</t>
        </is>
      </c>
      <c r="N174" s="2">
        <f>IF(AND($K174="Yes",$L174="Yes",$M174="Yes"),"Yes","No")</f>
        <v/>
      </c>
      <c r="O174" s="2" t="inlineStr"/>
    </row>
    <row r="175">
      <c r="A175" s="2" t="inlineStr">
        <is>
          <t>CARD-0175</t>
        </is>
      </c>
      <c r="B175" s="2" t="inlineStr">
        <is>
          <t>Phantasm Spiral Ensnarement</t>
        </is>
      </c>
      <c r="C175" s="2" t="inlineStr">
        <is>
          <t>DAEL</t>
        </is>
      </c>
      <c r="D175" s="2" t="inlineStr">
        <is>
          <t>005</t>
        </is>
      </c>
      <c r="E175" s="2" t="inlineStr">
        <is>
          <t>Dawn of the Elements</t>
        </is>
      </c>
      <c r="F175" s="2" t="inlineStr">
        <is>
          <t>Trap</t>
        </is>
      </c>
      <c r="G175" s="2" t="inlineStr">
        <is>
          <t>Trap / Normal</t>
        </is>
      </c>
      <c r="H175" s="2" t="inlineStr">
        <is>
          <t>Phantasm Spiral</t>
        </is>
      </c>
      <c r="I175" s="2" t="inlineStr">
        <is>
          <t>2025-07-22</t>
        </is>
      </c>
      <c r="J175" s="2" t="inlineStr">
        <is>
          <t>/assets/cards/Phantasm_Spiral_Ensnarement.jpeg</t>
        </is>
      </c>
      <c r="K175" s="2" t="inlineStr">
        <is>
          <t>No</t>
        </is>
      </c>
      <c r="L175" s="2" t="inlineStr">
        <is>
          <t>No</t>
        </is>
      </c>
      <c r="M175" s="2" t="inlineStr">
        <is>
          <t>No</t>
        </is>
      </c>
      <c r="N175" s="2">
        <f>IF(AND($K175="Yes",$L175="Yes",$M175="Yes"),"Yes","No")</f>
        <v/>
      </c>
      <c r="O175" s="2" t="inlineStr"/>
    </row>
    <row r="176">
      <c r="A176" s="2" t="inlineStr">
        <is>
          <t>CARD-0176</t>
        </is>
      </c>
      <c r="B176" s="2" t="inlineStr">
        <is>
          <t>Grand Puppet of Wicked Puppeteer</t>
        </is>
      </c>
      <c r="C176" s="2" t="inlineStr">
        <is>
          <t>DAEL</t>
        </is>
      </c>
      <c r="D176" s="2" t="inlineStr">
        <is>
          <t>006</t>
        </is>
      </c>
      <c r="E176" s="2" t="inlineStr">
        <is>
          <t>Dawn of the Elements</t>
        </is>
      </c>
      <c r="F176" s="2" t="inlineStr">
        <is>
          <t>Monster</t>
        </is>
      </c>
      <c r="G176" s="2" t="inlineStr">
        <is>
          <t>Fiend / Effect</t>
        </is>
      </c>
      <c r="H176" s="2" t="inlineStr">
        <is>
          <t>Wicked Puppeteer</t>
        </is>
      </c>
      <c r="I176" s="2" t="inlineStr">
        <is>
          <t>2025-07-22</t>
        </is>
      </c>
      <c r="J176" s="2" t="inlineStr">
        <is>
          <t>/assets/cards/Grand_Puppet_of_Wicked_Puppeteer.jpeg</t>
        </is>
      </c>
      <c r="K176" s="2" t="inlineStr">
        <is>
          <t>No</t>
        </is>
      </c>
      <c r="L176" s="2" t="inlineStr">
        <is>
          <t>No</t>
        </is>
      </c>
      <c r="M176" s="2" t="inlineStr">
        <is>
          <t>No</t>
        </is>
      </c>
      <c r="N176" s="2">
        <f>IF(AND($K176="Yes",$L176="Yes",$M176="Yes"),"Yes","No")</f>
        <v/>
      </c>
      <c r="O176" s="2" t="inlineStr"/>
    </row>
    <row r="177">
      <c r="A177" s="2" t="inlineStr">
        <is>
          <t>CARD-0177</t>
        </is>
      </c>
      <c r="B177" s="2" t="inlineStr">
        <is>
          <t>Knight Puppet of Wicked Puppeteer</t>
        </is>
      </c>
      <c r="C177" s="2" t="inlineStr">
        <is>
          <t>DAEL</t>
        </is>
      </c>
      <c r="D177" s="2" t="inlineStr">
        <is>
          <t>007</t>
        </is>
      </c>
      <c r="E177" s="2" t="inlineStr">
        <is>
          <t>Dawn of the Elements</t>
        </is>
      </c>
      <c r="F177" s="2" t="inlineStr">
        <is>
          <t>Monster</t>
        </is>
      </c>
      <c r="G177" s="2" t="inlineStr">
        <is>
          <t>Fiend / Effect</t>
        </is>
      </c>
      <c r="H177" s="2" t="inlineStr">
        <is>
          <t>Wicked Puppeteer</t>
        </is>
      </c>
      <c r="I177" s="2" t="inlineStr">
        <is>
          <t>2025-07-22</t>
        </is>
      </c>
      <c r="J177" s="2" t="inlineStr">
        <is>
          <t>/assets/cards/Knight_Puppet_of_Wicked_Puppeteer.jpeg</t>
        </is>
      </c>
      <c r="K177" s="2" t="inlineStr">
        <is>
          <t>No</t>
        </is>
      </c>
      <c r="L177" s="2" t="inlineStr">
        <is>
          <t>No</t>
        </is>
      </c>
      <c r="M177" s="2" t="inlineStr">
        <is>
          <t>No</t>
        </is>
      </c>
      <c r="N177" s="2">
        <f>IF(AND($K177="Yes",$L177="Yes",$M177="Yes"),"Yes","No")</f>
        <v/>
      </c>
      <c r="O177" s="2" t="inlineStr"/>
    </row>
    <row r="178">
      <c r="A178" s="2" t="inlineStr">
        <is>
          <t>CARD-0178</t>
        </is>
      </c>
      <c r="B178" s="2" t="inlineStr">
        <is>
          <t>Minion Puppets of Wicked Puppeteer</t>
        </is>
      </c>
      <c r="C178" s="2" t="inlineStr">
        <is>
          <t>DAEL</t>
        </is>
      </c>
      <c r="D178" s="2" t="inlineStr">
        <is>
          <t>008</t>
        </is>
      </c>
      <c r="E178" s="2" t="inlineStr">
        <is>
          <t>Dawn of the Elements</t>
        </is>
      </c>
      <c r="F178" s="2" t="inlineStr">
        <is>
          <t>Monster</t>
        </is>
      </c>
      <c r="G178" s="2" t="inlineStr">
        <is>
          <t>Fiend / Effect</t>
        </is>
      </c>
      <c r="H178" s="2" t="inlineStr">
        <is>
          <t>Wicked Puppeteer</t>
        </is>
      </c>
      <c r="I178" s="2" t="inlineStr">
        <is>
          <t>2025-07-22</t>
        </is>
      </c>
      <c r="J178" s="2" t="inlineStr">
        <is>
          <t>/assets/cards/Minion_Puppets_of_Wicked_Puppeteer.jpeg</t>
        </is>
      </c>
      <c r="K178" s="2" t="inlineStr">
        <is>
          <t>No</t>
        </is>
      </c>
      <c r="L178" s="2" t="inlineStr">
        <is>
          <t>No</t>
        </is>
      </c>
      <c r="M178" s="2" t="inlineStr">
        <is>
          <t>No</t>
        </is>
      </c>
      <c r="N178" s="2">
        <f>IF(AND($K178="Yes",$L178="Yes",$M178="Yes"),"Yes","No")</f>
        <v/>
      </c>
      <c r="O178" s="2" t="inlineStr"/>
    </row>
    <row r="179">
      <c r="A179" s="2" t="inlineStr">
        <is>
          <t>CARD-00179</t>
        </is>
      </c>
      <c r="B179" s="2" t="inlineStr">
        <is>
          <t>Guardian of Wicked Puppeteer</t>
        </is>
      </c>
      <c r="C179" s="2" t="inlineStr">
        <is>
          <t>DAEL</t>
        </is>
      </c>
      <c r="D179" s="2" t="inlineStr">
        <is>
          <t>009</t>
        </is>
      </c>
      <c r="E179" s="2" t="inlineStr">
        <is>
          <t>Dawn of the Elements</t>
        </is>
      </c>
      <c r="F179" s="2" t="inlineStr">
        <is>
          <t>Monster</t>
        </is>
      </c>
      <c r="G179" s="2" t="inlineStr">
        <is>
          <t>Warrior / Effect</t>
        </is>
      </c>
      <c r="H179" s="2" t="inlineStr">
        <is>
          <t>Wicked Puppeteer</t>
        </is>
      </c>
      <c r="I179" s="2" t="inlineStr">
        <is>
          <t>2025-07-22</t>
        </is>
      </c>
      <c r="J179" s="2" t="inlineStr">
        <is>
          <t>/assets/cards/Guardian_of_Wicked_Puppeteer.jpeg</t>
        </is>
      </c>
      <c r="K179" s="2" t="inlineStr">
        <is>
          <t>No</t>
        </is>
      </c>
      <c r="L179" s="2" t="inlineStr">
        <is>
          <t>No</t>
        </is>
      </c>
      <c r="M179" s="2" t="inlineStr">
        <is>
          <t>No</t>
        </is>
      </c>
      <c r="N179" s="2">
        <f>IF(AND($K179="Yes",$L179="Yes",$M179="Yes"),"Yes","No")</f>
        <v/>
      </c>
      <c r="O179" s="2" t="inlineStr"/>
    </row>
    <row r="180">
      <c r="A180" s="2" t="inlineStr">
        <is>
          <t>CARD-00180</t>
        </is>
      </c>
      <c r="B180" s="2" t="inlineStr">
        <is>
          <t>The True Wicked Puppeteer, Orchis</t>
        </is>
      </c>
      <c r="C180" s="2" t="inlineStr">
        <is>
          <t>DAEL</t>
        </is>
      </c>
      <c r="D180" s="2" t="inlineStr">
        <is>
          <t>010</t>
        </is>
      </c>
      <c r="E180" s="2" t="inlineStr">
        <is>
          <t>Dawn of the Elements</t>
        </is>
      </c>
      <c r="F180" s="2" t="inlineStr">
        <is>
          <t>Monster</t>
        </is>
      </c>
      <c r="G180" s="2" t="inlineStr">
        <is>
          <t>Warrior / Effect</t>
        </is>
      </c>
      <c r="H180" s="2" t="inlineStr">
        <is>
          <t>Wicked Puppeteer</t>
        </is>
      </c>
      <c r="I180" s="2" t="inlineStr">
        <is>
          <t>2025-07-22</t>
        </is>
      </c>
      <c r="J180" s="2" t="inlineStr">
        <is>
          <t>/assets/cards/The_True_Wicked_Puppeteer,_Orchis.jpeg</t>
        </is>
      </c>
      <c r="K180" s="2" t="inlineStr">
        <is>
          <t>No</t>
        </is>
      </c>
      <c r="L180" s="2" t="inlineStr">
        <is>
          <t>No</t>
        </is>
      </c>
      <c r="M180" s="2" t="inlineStr">
        <is>
          <t>No</t>
        </is>
      </c>
      <c r="N180" s="2">
        <f>IF(AND($K180="Yes",$L180="Yes",$M180="Yes"),"Yes","No")</f>
        <v/>
      </c>
      <c r="O180" s="2" t="inlineStr"/>
    </row>
    <row r="181">
      <c r="A181" s="2" t="inlineStr">
        <is>
          <t>CARD-00181</t>
        </is>
      </c>
      <c r="B181" s="2" t="inlineStr">
        <is>
          <t>Wicked Puppeteer, Orchis</t>
        </is>
      </c>
      <c r="C181" s="2" t="inlineStr">
        <is>
          <t>DAEL</t>
        </is>
      </c>
      <c r="D181" s="2" t="inlineStr">
        <is>
          <t>011</t>
        </is>
      </c>
      <c r="E181" s="2" t="inlineStr">
        <is>
          <t>Dawn of the Elements</t>
        </is>
      </c>
      <c r="F181" s="2" t="inlineStr">
        <is>
          <t>Monster</t>
        </is>
      </c>
      <c r="G181" s="2" t="inlineStr">
        <is>
          <t>Warrior / Ritual / Effect</t>
        </is>
      </c>
      <c r="H181" s="2" t="inlineStr">
        <is>
          <t>Wicked Puppeteer</t>
        </is>
      </c>
      <c r="I181" s="2" t="inlineStr">
        <is>
          <t>2025-07-22</t>
        </is>
      </c>
      <c r="J181" s="2" t="inlineStr">
        <is>
          <t>/assets/cards/Wicked_Puppeteer,_Orchis.jpeg</t>
        </is>
      </c>
      <c r="K181" s="2" t="inlineStr">
        <is>
          <t>No</t>
        </is>
      </c>
      <c r="L181" s="2" t="inlineStr">
        <is>
          <t>No</t>
        </is>
      </c>
      <c r="M181" s="2" t="inlineStr">
        <is>
          <t>No</t>
        </is>
      </c>
      <c r="N181" s="2">
        <f>IF(AND($K181="Yes",$L181="Yes",$M181="Yes"),"Yes","No")</f>
        <v/>
      </c>
      <c r="O181" s="2" t="inlineStr"/>
    </row>
    <row r="182">
      <c r="A182" s="2" t="inlineStr">
        <is>
          <t>CARD-00182</t>
        </is>
      </c>
      <c r="B182" s="2" t="inlineStr">
        <is>
          <t>Wicked Puppeteer Tragedy</t>
        </is>
      </c>
      <c r="C182" s="2" t="inlineStr">
        <is>
          <t>DAEL</t>
        </is>
      </c>
      <c r="D182" s="2" t="inlineStr">
        <is>
          <t>012</t>
        </is>
      </c>
      <c r="E182" s="2" t="inlineStr">
        <is>
          <t>Dawn of the Elements</t>
        </is>
      </c>
      <c r="F182" s="2" t="inlineStr">
        <is>
          <t>Spell</t>
        </is>
      </c>
      <c r="G182" s="2" t="inlineStr">
        <is>
          <t>Spell / Ritual</t>
        </is>
      </c>
      <c r="H182" s="2" t="inlineStr">
        <is>
          <t>Wicked Puppeteer</t>
        </is>
      </c>
      <c r="I182" s="2" t="inlineStr">
        <is>
          <t>2025-07-22</t>
        </is>
      </c>
      <c r="J182" s="2" t="inlineStr">
        <is>
          <t>/assets/cards/Wicked_Puppeteer_Tragedy.jpeg</t>
        </is>
      </c>
      <c r="K182" s="2" t="inlineStr">
        <is>
          <t>No</t>
        </is>
      </c>
      <c r="L182" s="2" t="inlineStr">
        <is>
          <t>No</t>
        </is>
      </c>
      <c r="M182" s="2" t="inlineStr">
        <is>
          <t>No</t>
        </is>
      </c>
      <c r="N182" s="2">
        <f>IF(AND($K182="Yes",$L182="Yes",$M182="Yes"),"Yes","No")</f>
        <v/>
      </c>
      <c r="O182" s="2" t="inlineStr"/>
    </row>
    <row r="183">
      <c r="A183" s="2" t="inlineStr">
        <is>
          <t>CARD-00183</t>
        </is>
      </c>
      <c r="B183" s="2" t="inlineStr">
        <is>
          <t>Wicked Puppeteery</t>
        </is>
      </c>
      <c r="C183" s="2" t="inlineStr">
        <is>
          <t>DAEL</t>
        </is>
      </c>
      <c r="D183" s="2" t="inlineStr">
        <is>
          <t>013</t>
        </is>
      </c>
      <c r="E183" s="2" t="inlineStr">
        <is>
          <t>Dawn of the Elements</t>
        </is>
      </c>
      <c r="F183" s="2" t="inlineStr">
        <is>
          <t>Spell</t>
        </is>
      </c>
      <c r="G183" s="2" t="inlineStr">
        <is>
          <t>Spell / Continuous</t>
        </is>
      </c>
      <c r="H183" s="2" t="inlineStr">
        <is>
          <t>Wicked Puppeteer</t>
        </is>
      </c>
      <c r="I183" s="2" t="inlineStr">
        <is>
          <t>2025-07-22</t>
        </is>
      </c>
      <c r="J183" s="2" t="inlineStr">
        <is>
          <t>/assets/cards/Wicked_Puppeteery.jpeg</t>
        </is>
      </c>
      <c r="K183" s="2" t="inlineStr">
        <is>
          <t>No</t>
        </is>
      </c>
      <c r="L183" s="2" t="inlineStr">
        <is>
          <t>No</t>
        </is>
      </c>
      <c r="M183" s="2" t="inlineStr">
        <is>
          <t>No</t>
        </is>
      </c>
      <c r="N183" s="2">
        <f>IF(AND($K183="Yes",$L183="Yes",$M183="Yes"),"Yes","No")</f>
        <v/>
      </c>
      <c r="O183" s="2" t="inlineStr"/>
    </row>
    <row r="184">
      <c r="A184" s="2" t="inlineStr">
        <is>
          <t>CARD-0184</t>
        </is>
      </c>
      <c r="B184" s="2" t="inlineStr">
        <is>
          <t>Divine Phoenix of Nephthys</t>
        </is>
      </c>
      <c r="C184" s="2" t="inlineStr">
        <is>
          <t>DAEL</t>
        </is>
      </c>
      <c r="D184" s="2" t="inlineStr">
        <is>
          <t>014</t>
        </is>
      </c>
      <c r="E184" s="2" t="inlineStr">
        <is>
          <t>Dawn of the Elements</t>
        </is>
      </c>
      <c r="F184" s="2" t="inlineStr">
        <is>
          <t>Monster</t>
        </is>
      </c>
      <c r="G184" s="2" t="inlineStr">
        <is>
          <t>Winged Beast / Effect</t>
        </is>
      </c>
      <c r="H184" s="2" t="inlineStr">
        <is>
          <t>Nephthys</t>
        </is>
      </c>
      <c r="I184" s="2" t="inlineStr">
        <is>
          <t>2025-07-22</t>
        </is>
      </c>
      <c r="J184" s="2" t="inlineStr">
        <is>
          <t>/assets/cards/Divine_Phoenix_of_Nephthys.jpeg</t>
        </is>
      </c>
      <c r="K184" s="2" t="inlineStr">
        <is>
          <t>No</t>
        </is>
      </c>
      <c r="L184" s="2" t="inlineStr">
        <is>
          <t>No</t>
        </is>
      </c>
      <c r="M184" s="2" t="inlineStr">
        <is>
          <t>No</t>
        </is>
      </c>
      <c r="N184" s="2">
        <f>IF(AND($K184="Yes",$L184="Yes",$M184="Yes"),"Yes","No")</f>
        <v/>
      </c>
      <c r="O184" s="2" t="inlineStr"/>
    </row>
    <row r="185">
      <c r="A185" s="2" t="inlineStr">
        <is>
          <t>CARD-0185</t>
        </is>
      </c>
      <c r="B185" s="2" t="inlineStr">
        <is>
          <t>Primite Dragon Citrine</t>
        </is>
      </c>
      <c r="C185" s="2" t="inlineStr">
        <is>
          <t>DAEL</t>
        </is>
      </c>
      <c r="D185" s="2" t="inlineStr">
        <is>
          <t>015</t>
        </is>
      </c>
      <c r="E185" s="2" t="inlineStr">
        <is>
          <t>Dawn of the Elements</t>
        </is>
      </c>
      <c r="F185" s="2" t="inlineStr">
        <is>
          <t>Monster</t>
        </is>
      </c>
      <c r="G185" s="2" t="inlineStr">
        <is>
          <t>Dragon / Normal</t>
        </is>
      </c>
      <c r="H185" s="2" t="inlineStr"/>
      <c r="I185" s="2" t="inlineStr">
        <is>
          <t>2025-07-22</t>
        </is>
      </c>
      <c r="J185" s="2" t="inlineStr">
        <is>
          <t>/assets/cards/Primite_Dragon_Citrine.jpeg</t>
        </is>
      </c>
      <c r="K185" s="2" t="inlineStr">
        <is>
          <t>No</t>
        </is>
      </c>
      <c r="L185" s="2" t="inlineStr">
        <is>
          <t>No</t>
        </is>
      </c>
      <c r="M185" s="2" t="inlineStr">
        <is>
          <t>No</t>
        </is>
      </c>
      <c r="N185" s="2">
        <f>IF(AND($K185="Yes",$L185="Yes",$M185="Yes"),"Yes","No")</f>
        <v/>
      </c>
      <c r="O185" s="2" t="inlineStr"/>
    </row>
    <row r="186">
      <c r="A186" s="2" t="inlineStr">
        <is>
          <t>CARD-00186</t>
        </is>
      </c>
      <c r="B186" s="2" t="inlineStr">
        <is>
          <t>Pedicaes Papa</t>
        </is>
      </c>
      <c r="C186" s="2" t="inlineStr">
        <is>
          <t>DAEL</t>
        </is>
      </c>
      <c r="D186" s="2" t="inlineStr">
        <is>
          <t>016</t>
        </is>
      </c>
      <c r="E186" s="2" t="inlineStr">
        <is>
          <t>Dawn of the Elements</t>
        </is>
      </c>
      <c r="F186" s="2" t="inlineStr">
        <is>
          <t>Monster</t>
        </is>
      </c>
      <c r="G186" s="2" t="inlineStr">
        <is>
          <t>Fiend / Effect</t>
        </is>
      </c>
      <c r="H186" s="2" t="inlineStr">
        <is>
          <t>Vir Pedicae Mortis</t>
        </is>
      </c>
      <c r="I186" s="2" t="inlineStr">
        <is>
          <t>2025-07-22</t>
        </is>
      </c>
      <c r="J186" s="2" t="inlineStr">
        <is>
          <t>/assets/cards/Pedicaes_Papa.jpeg</t>
        </is>
      </c>
      <c r="K186" s="2" t="inlineStr">
        <is>
          <t>No</t>
        </is>
      </c>
      <c r="L186" s="2" t="inlineStr">
        <is>
          <t>No</t>
        </is>
      </c>
      <c r="M186" s="2" t="inlineStr">
        <is>
          <t>No</t>
        </is>
      </c>
      <c r="N186" s="2">
        <f>IF(AND($K186="Yes",$L186="Yes",$M186="Yes"),"Yes","No")</f>
        <v/>
      </c>
      <c r="O186" s="2" t="inlineStr"/>
    </row>
    <row r="187">
      <c r="A187" s="2" t="inlineStr">
        <is>
          <t>CARD-00187</t>
        </is>
      </c>
      <c r="B187" s="2" t="inlineStr">
        <is>
          <t>Vir Pedicae Mortis - Entity's Happy Servant</t>
        </is>
      </c>
      <c r="C187" s="2" t="inlineStr">
        <is>
          <t>DAEL</t>
        </is>
      </c>
      <c r="D187" s="2" t="inlineStr">
        <is>
          <t>017</t>
        </is>
      </c>
      <c r="E187" s="2" t="inlineStr">
        <is>
          <t>Dawn of the Elements</t>
        </is>
      </c>
      <c r="F187" s="2" t="inlineStr">
        <is>
          <t>Monster</t>
        </is>
      </c>
      <c r="G187" s="2" t="inlineStr">
        <is>
          <t>Fiend / Effect</t>
        </is>
      </c>
      <c r="H187" s="2" t="inlineStr">
        <is>
          <t>Vir Pedicae Mortis</t>
        </is>
      </c>
      <c r="I187" s="2" t="inlineStr">
        <is>
          <t>2025-07-22</t>
        </is>
      </c>
      <c r="J187" s="2" t="inlineStr">
        <is>
          <t>/assets/cards/Vir_Pedicae_Mortis_-_Entitys_Happy_Servant_.jpeg</t>
        </is>
      </c>
      <c r="K187" s="2" t="inlineStr">
        <is>
          <t>No</t>
        </is>
      </c>
      <c r="L187" s="2" t="inlineStr">
        <is>
          <t>No</t>
        </is>
      </c>
      <c r="M187" s="2" t="inlineStr">
        <is>
          <t>No</t>
        </is>
      </c>
      <c r="N187" s="2">
        <f>IF(AND($K187="Yes",$L187="Yes",$M187="Yes"),"Yes","No")</f>
        <v/>
      </c>
      <c r="O187" s="2" t="inlineStr"/>
    </row>
    <row r="188">
      <c r="A188" s="2" t="inlineStr">
        <is>
          <t>CARD-00188</t>
        </is>
      </c>
      <c r="B188" s="2" t="inlineStr">
        <is>
          <t>Vir Pedicae Mortis - Fearless Hunter</t>
        </is>
      </c>
      <c r="C188" s="2" t="inlineStr">
        <is>
          <t>DAEL</t>
        </is>
      </c>
      <c r="D188" s="2" t="inlineStr">
        <is>
          <t>018</t>
        </is>
      </c>
      <c r="E188" s="2" t="inlineStr">
        <is>
          <t>Dawn of the Elements</t>
        </is>
      </c>
      <c r="F188" s="2" t="inlineStr">
        <is>
          <t>Monster</t>
        </is>
      </c>
      <c r="G188" s="2" t="inlineStr">
        <is>
          <t>Fiend / Effect</t>
        </is>
      </c>
      <c r="H188" s="2" t="inlineStr">
        <is>
          <t>Vir Pedicae Mortis</t>
        </is>
      </c>
      <c r="I188" s="2" t="inlineStr">
        <is>
          <t>2025-07-22</t>
        </is>
      </c>
      <c r="J188" s="2" t="inlineStr">
        <is>
          <t>/assets/cards/Vir_Pedicae_Mortis_-_Fearless_Hunter.jpeg</t>
        </is>
      </c>
      <c r="K188" s="2" t="inlineStr">
        <is>
          <t>No</t>
        </is>
      </c>
      <c r="L188" s="2" t="inlineStr">
        <is>
          <t>No</t>
        </is>
      </c>
      <c r="M188" s="2" t="inlineStr">
        <is>
          <t>No</t>
        </is>
      </c>
      <c r="N188" s="2">
        <f>IF(AND($K188="Yes",$L188="Yes",$M188="Yes"),"Yes","No")</f>
        <v/>
      </c>
      <c r="O188" s="2" t="inlineStr"/>
    </row>
    <row r="189">
      <c r="A189" s="2" t="inlineStr">
        <is>
          <t>CARD-00189</t>
        </is>
      </c>
      <c r="B189" s="2" t="inlineStr">
        <is>
          <t>Vir Pedicae Mortis - The Unhallowed Warden</t>
        </is>
      </c>
      <c r="C189" s="2" t="inlineStr">
        <is>
          <t>DAEL</t>
        </is>
      </c>
      <c r="D189" s="2" t="inlineStr">
        <is>
          <t>019</t>
        </is>
      </c>
      <c r="E189" s="2" t="inlineStr">
        <is>
          <t>Dawn of the Elements</t>
        </is>
      </c>
      <c r="F189" s="2" t="inlineStr">
        <is>
          <t>Monster</t>
        </is>
      </c>
      <c r="G189" s="2" t="inlineStr">
        <is>
          <t>Fiend / Effect</t>
        </is>
      </c>
      <c r="H189" s="2" t="inlineStr">
        <is>
          <t>Vir Pedicae Mortis</t>
        </is>
      </c>
      <c r="I189" s="2" t="inlineStr">
        <is>
          <t>2025-07-22</t>
        </is>
      </c>
      <c r="J189" s="2" t="inlineStr">
        <is>
          <t>/assets/cards/Vir_Pedicae_Mortis_-_The_Unhallowed_Warden.jpeg</t>
        </is>
      </c>
      <c r="K189" s="2" t="inlineStr">
        <is>
          <t>No</t>
        </is>
      </c>
      <c r="L189" s="2" t="inlineStr">
        <is>
          <t>No</t>
        </is>
      </c>
      <c r="M189" s="2" t="inlineStr">
        <is>
          <t>No</t>
        </is>
      </c>
      <c r="N189" s="2">
        <f>IF(AND($K189="Yes",$L189="Yes",$M189="Yes"),"Yes","No")</f>
        <v/>
      </c>
      <c r="O189" s="2" t="inlineStr"/>
    </row>
    <row r="190">
      <c r="A190" s="2" t="inlineStr">
        <is>
          <t>CARD-00190</t>
        </is>
      </c>
      <c r="B190" s="2" t="inlineStr">
        <is>
          <t>Vir Pedicae Mortis - True Nightmare</t>
        </is>
      </c>
      <c r="C190" s="2" t="inlineStr">
        <is>
          <t>DAEL</t>
        </is>
      </c>
      <c r="D190" s="2" t="inlineStr">
        <is>
          <t>020</t>
        </is>
      </c>
      <c r="E190" s="2" t="inlineStr">
        <is>
          <t>Dawn of the Elements</t>
        </is>
      </c>
      <c r="F190" s="2" t="inlineStr">
        <is>
          <t>Monster</t>
        </is>
      </c>
      <c r="G190" s="2" t="inlineStr">
        <is>
          <t>Fiend / Link / Effect</t>
        </is>
      </c>
      <c r="H190" s="2" t="inlineStr">
        <is>
          <t>Vir Pedicae Mortis</t>
        </is>
      </c>
      <c r="I190" s="2" t="inlineStr">
        <is>
          <t>2025-07-22</t>
        </is>
      </c>
      <c r="J190" s="2" t="inlineStr">
        <is>
          <t>/assets/cards/Vir_Pedicae_Mortis_-_True_Nightmare.jpeg</t>
        </is>
      </c>
      <c r="K190" s="2" t="inlineStr">
        <is>
          <t>No</t>
        </is>
      </c>
      <c r="L190" s="2" t="inlineStr">
        <is>
          <t>No</t>
        </is>
      </c>
      <c r="M190" s="2" t="inlineStr">
        <is>
          <t>No</t>
        </is>
      </c>
      <c r="N190" s="2">
        <f>IF(AND($K190="Yes",$L190="Yes",$M190="Yes"),"Yes","No")</f>
        <v/>
      </c>
      <c r="O190" s="2" t="inlineStr"/>
    </row>
    <row r="191">
      <c r="A191" s="2" t="inlineStr">
        <is>
          <t>CARD-0191</t>
        </is>
      </c>
      <c r="B191" s="2" t="inlineStr">
        <is>
          <t>Entity's Realm - Pedicae Estate</t>
        </is>
      </c>
      <c r="C191" s="2" t="inlineStr">
        <is>
          <t>DAEL</t>
        </is>
      </c>
      <c r="D191" s="2" t="inlineStr">
        <is>
          <t>021</t>
        </is>
      </c>
      <c r="E191" s="2" t="inlineStr">
        <is>
          <t>Dawn of the Elements</t>
        </is>
      </c>
      <c r="F191" s="2" t="inlineStr">
        <is>
          <t>Spell</t>
        </is>
      </c>
      <c r="G191" s="2" t="inlineStr">
        <is>
          <t>Spell</t>
        </is>
      </c>
      <c r="H191" s="2" t="inlineStr">
        <is>
          <t>Vir Pedicae Mortis</t>
        </is>
      </c>
      <c r="I191" s="2" t="inlineStr">
        <is>
          <t>2025-07-22</t>
        </is>
      </c>
      <c r="J191" s="2" t="inlineStr">
        <is>
          <t>/assets/cards/Entitys_Realm_-_Pedicae_Estate.jpeg</t>
        </is>
      </c>
      <c r="K191" s="2" t="inlineStr">
        <is>
          <t>No</t>
        </is>
      </c>
      <c r="L191" s="2" t="inlineStr">
        <is>
          <t>No</t>
        </is>
      </c>
      <c r="M191" s="2" t="inlineStr">
        <is>
          <t>No</t>
        </is>
      </c>
      <c r="N191" s="2">
        <f>IF(AND($K191="Yes",$L191="Yes",$M191="Yes"),"Yes","No")</f>
        <v/>
      </c>
      <c r="O191" s="2" t="inlineStr"/>
    </row>
    <row r="192">
      <c r="A192" s="2" t="inlineStr">
        <is>
          <t>CARD-0192</t>
        </is>
      </c>
      <c r="B192" s="2" t="inlineStr">
        <is>
          <t>Recollection: Static, Lead, and Nerve</t>
        </is>
      </c>
      <c r="C192" s="2" t="inlineStr">
        <is>
          <t>DAEL</t>
        </is>
      </c>
      <c r="D192" s="2" t="inlineStr">
        <is>
          <t>022</t>
        </is>
      </c>
      <c r="E192" s="2" t="inlineStr">
        <is>
          <t>Dawn of the Elements</t>
        </is>
      </c>
      <c r="F192" s="2" t="inlineStr">
        <is>
          <t>Spell</t>
        </is>
      </c>
      <c r="G192" s="2" t="inlineStr">
        <is>
          <t>Spell / Normal</t>
        </is>
      </c>
      <c r="H192" s="2" t="inlineStr">
        <is>
          <t>Vir Pedicae Mortis</t>
        </is>
      </c>
      <c r="I192" s="2" t="inlineStr">
        <is>
          <t>2025-07-22</t>
        </is>
      </c>
      <c r="J192" s="2" t="inlineStr">
        <is>
          <t>/assets/cards/Recollection__Static_Lead_and_Nerve.jpeg</t>
        </is>
      </c>
      <c r="K192" s="2" t="inlineStr">
        <is>
          <t>No</t>
        </is>
      </c>
      <c r="L192" s="2" t="inlineStr">
        <is>
          <t>No</t>
        </is>
      </c>
      <c r="M192" s="2" t="inlineStr">
        <is>
          <t>No</t>
        </is>
      </c>
      <c r="N192" s="2">
        <f>IF(AND($K192="Yes",$L192="Yes",$M192="Yes"),"Yes","No")</f>
        <v/>
      </c>
      <c r="O192" s="2" t="inlineStr"/>
    </row>
    <row r="193">
      <c r="A193" s="2" t="inlineStr">
        <is>
          <t>CARD-0193</t>
        </is>
      </c>
      <c r="B193" s="2" t="inlineStr">
        <is>
          <t>Recollection: A Lesson in Iron</t>
        </is>
      </c>
      <c r="C193" s="2" t="inlineStr">
        <is>
          <t>DAEL</t>
        </is>
      </c>
      <c r="D193" s="2" t="inlineStr">
        <is>
          <t>023</t>
        </is>
      </c>
      <c r="E193" s="2" t="inlineStr">
        <is>
          <t>Dawn of the Elements</t>
        </is>
      </c>
      <c r="F193" s="2" t="inlineStr">
        <is>
          <t>Spell</t>
        </is>
      </c>
      <c r="G193" s="2" t="inlineStr">
        <is>
          <t>Spell / Normal</t>
        </is>
      </c>
      <c r="H193" s="2" t="inlineStr">
        <is>
          <t>Vir Pedicae Mortis</t>
        </is>
      </c>
      <c r="I193" s="2" t="inlineStr">
        <is>
          <t>2025-07-22</t>
        </is>
      </c>
      <c r="J193" s="2" t="inlineStr">
        <is>
          <t>/assets/cards/Recollection__A_Lesson_in_Iron.jpeg</t>
        </is>
      </c>
      <c r="K193" s="2" t="inlineStr">
        <is>
          <t>No</t>
        </is>
      </c>
      <c r="L193" s="2" t="inlineStr">
        <is>
          <t>No</t>
        </is>
      </c>
      <c r="M193" s="2" t="inlineStr">
        <is>
          <t>No</t>
        </is>
      </c>
      <c r="N193" s="2">
        <f>IF(AND($K193="Yes",$L193="Yes",$M193="Yes"),"Yes","No")</f>
        <v/>
      </c>
      <c r="O193" s="2" t="inlineStr"/>
    </row>
    <row r="194">
      <c r="A194" s="2" t="inlineStr">
        <is>
          <t>CARD-0194</t>
        </is>
      </c>
      <c r="B194" s="2" t="inlineStr">
        <is>
          <t>Recollection: The Mine</t>
        </is>
      </c>
      <c r="C194" s="2" t="inlineStr">
        <is>
          <t>DAEL</t>
        </is>
      </c>
      <c r="D194" s="2" t="inlineStr">
        <is>
          <t>024</t>
        </is>
      </c>
      <c r="E194" s="2" t="inlineStr">
        <is>
          <t>Dawn of the Elements</t>
        </is>
      </c>
      <c r="F194" s="2" t="inlineStr">
        <is>
          <t>Spell</t>
        </is>
      </c>
      <c r="G194" s="2" t="inlineStr">
        <is>
          <t>Spell / Field</t>
        </is>
      </c>
      <c r="H194" s="2" t="inlineStr">
        <is>
          <t>Vir Pedicae Mortis</t>
        </is>
      </c>
      <c r="I194" s="2" t="inlineStr">
        <is>
          <t>2025-07-22</t>
        </is>
      </c>
      <c r="J194" s="2" t="inlineStr">
        <is>
          <t>/assets/cards/Recollection__The_Mine.jpeg</t>
        </is>
      </c>
      <c r="K194" s="2" t="inlineStr">
        <is>
          <t>No</t>
        </is>
      </c>
      <c r="L194" s="2" t="inlineStr">
        <is>
          <t>No</t>
        </is>
      </c>
      <c r="M194" s="2" t="inlineStr">
        <is>
          <t>No</t>
        </is>
      </c>
      <c r="N194" s="2">
        <f>IF(AND($K194="Yes",$L194="Yes",$M194="Yes"),"Yes","No")</f>
        <v/>
      </c>
      <c r="O194" s="2" t="inlineStr"/>
    </row>
    <row r="195">
      <c r="A195" s="2" t="inlineStr">
        <is>
          <t>CARD-0195</t>
        </is>
      </c>
      <c r="B195" s="2" t="inlineStr">
        <is>
          <t>Recollection: Kaboom Papa</t>
        </is>
      </c>
      <c r="C195" s="2" t="inlineStr">
        <is>
          <t>DAEL</t>
        </is>
      </c>
      <c r="D195" s="2" t="inlineStr">
        <is>
          <t>025</t>
        </is>
      </c>
      <c r="E195" s="2" t="inlineStr">
        <is>
          <t>Dawn of the Elements</t>
        </is>
      </c>
      <c r="F195" s="2" t="inlineStr">
        <is>
          <t>Spell</t>
        </is>
      </c>
      <c r="G195" s="2" t="inlineStr">
        <is>
          <t>Spell / Quick-Play</t>
        </is>
      </c>
      <c r="H195" s="2" t="inlineStr">
        <is>
          <t>Vir Pedicae Mortis</t>
        </is>
      </c>
      <c r="I195" s="2" t="inlineStr">
        <is>
          <t>2025-07-22</t>
        </is>
      </c>
      <c r="J195" s="2" t="inlineStr">
        <is>
          <t>/assets/cards/Recollection__Kaboom_Papa.jpeg</t>
        </is>
      </c>
      <c r="K195" s="2" t="inlineStr">
        <is>
          <t>No</t>
        </is>
      </c>
      <c r="L195" s="2" t="inlineStr">
        <is>
          <t>No</t>
        </is>
      </c>
      <c r="M195" s="2" t="inlineStr">
        <is>
          <t>No</t>
        </is>
      </c>
      <c r="N195" s="2">
        <f>IF(AND($K195="Yes",$L195="Yes",$M195="Yes"),"Yes","No")</f>
        <v/>
      </c>
      <c r="O195" s="2" t="inlineStr"/>
    </row>
    <row r="196">
      <c r="A196" s="2" t="inlineStr">
        <is>
          <t>CARD-0196</t>
        </is>
      </c>
      <c r="B196" s="2" t="inlineStr">
        <is>
          <t>Teleum Mortis</t>
        </is>
      </c>
      <c r="C196" s="2" t="inlineStr">
        <is>
          <t>DAEL</t>
        </is>
      </c>
      <c r="D196" s="2" t="inlineStr">
        <is>
          <t>026</t>
        </is>
      </c>
      <c r="E196" s="2" t="inlineStr">
        <is>
          <t>Dawn of the Elements</t>
        </is>
      </c>
      <c r="F196" s="2" t="inlineStr">
        <is>
          <t>Spell</t>
        </is>
      </c>
      <c r="G196" s="2" t="inlineStr">
        <is>
          <t>Spell / Equip</t>
        </is>
      </c>
      <c r="H196" s="2" t="inlineStr">
        <is>
          <t>Vir Pedicae Mortis</t>
        </is>
      </c>
      <c r="I196" s="2" t="inlineStr">
        <is>
          <t>2025-07-22</t>
        </is>
      </c>
      <c r="J196" s="2" t="inlineStr">
        <is>
          <t>/assets/cards/Teleum_Mortis_1.jpeg</t>
        </is>
      </c>
      <c r="K196" s="2" t="inlineStr">
        <is>
          <t>No</t>
        </is>
      </c>
      <c r="L196" s="2" t="inlineStr">
        <is>
          <t>No</t>
        </is>
      </c>
      <c r="M196" s="2" t="inlineStr">
        <is>
          <t>No</t>
        </is>
      </c>
      <c r="N196" s="2">
        <f>IF(AND($K196="Yes",$L196="Yes",$M196="Yes"),"Yes","No")</f>
        <v/>
      </c>
      <c r="O196" s="2" t="inlineStr"/>
    </row>
    <row r="197">
      <c r="A197" s="2" t="inlineStr">
        <is>
          <t>CARD-0197</t>
        </is>
      </c>
      <c r="B197" s="2" t="inlineStr">
        <is>
          <t>Bear Trap</t>
        </is>
      </c>
      <c r="C197" s="2" t="inlineStr">
        <is>
          <t>DAEL</t>
        </is>
      </c>
      <c r="D197" s="2" t="inlineStr">
        <is>
          <t>027</t>
        </is>
      </c>
      <c r="E197" s="2" t="inlineStr">
        <is>
          <t>Dawn of the Elements</t>
        </is>
      </c>
      <c r="F197" s="2" t="inlineStr">
        <is>
          <t>Trap</t>
        </is>
      </c>
      <c r="G197" s="2" t="inlineStr">
        <is>
          <t>Trap / Counter</t>
        </is>
      </c>
      <c r="H197" s="2" t="inlineStr">
        <is>
          <t>Vir Pedicae Mortis</t>
        </is>
      </c>
      <c r="I197" s="2" t="inlineStr">
        <is>
          <t>2025-07-22</t>
        </is>
      </c>
      <c r="J197" s="2" t="inlineStr">
        <is>
          <t>/assets/cards/Bear_Trap_2.jpeg</t>
        </is>
      </c>
      <c r="K197" s="2" t="inlineStr">
        <is>
          <t>No</t>
        </is>
      </c>
      <c r="L197" s="2" t="inlineStr">
        <is>
          <t>No</t>
        </is>
      </c>
      <c r="M197" s="2" t="inlineStr">
        <is>
          <t>No</t>
        </is>
      </c>
      <c r="N197" s="2">
        <f>IF(AND($K197="Yes",$L197="Yes",$M197="Yes"),"Yes","No")</f>
        <v/>
      </c>
      <c r="O197" s="2" t="inlineStr"/>
    </row>
    <row r="198">
      <c r="A198" s="2" t="inlineStr">
        <is>
          <t>CARD-0198</t>
        </is>
      </c>
      <c r="B198" s="2" t="inlineStr">
        <is>
          <t>Securitake Agent</t>
        </is>
      </c>
      <c r="C198" s="2" t="inlineStr">
        <is>
          <t>DAEL</t>
        </is>
      </c>
      <c r="D198" s="2" t="inlineStr">
        <is>
          <t>028</t>
        </is>
      </c>
      <c r="E198" s="2" t="inlineStr">
        <is>
          <t>Dawn of the Elements</t>
        </is>
      </c>
      <c r="F198" s="2" t="inlineStr">
        <is>
          <t>Monster</t>
        </is>
      </c>
      <c r="G198" s="2" t="inlineStr">
        <is>
          <t>Cyberse / Link / Effect</t>
        </is>
      </c>
      <c r="H198" s="2" t="inlineStr"/>
      <c r="I198" s="2" t="inlineStr">
        <is>
          <t>2025-07-22</t>
        </is>
      </c>
      <c r="J198" s="2" t="inlineStr">
        <is>
          <t>/assets/cards/Securitake_Agent.jpeg</t>
        </is>
      </c>
      <c r="K198" s="2" t="inlineStr">
        <is>
          <t>No</t>
        </is>
      </c>
      <c r="L198" s="2" t="inlineStr">
        <is>
          <t>No</t>
        </is>
      </c>
      <c r="M198" s="2" t="inlineStr">
        <is>
          <t>No</t>
        </is>
      </c>
      <c r="N198" s="2">
        <f>IF(AND($K198="Yes",$L198="Yes",$M198="Yes"),"Yes","No")</f>
        <v/>
      </c>
      <c r="O198" s="2" t="inlineStr"/>
    </row>
    <row r="199">
      <c r="A199" s="2" t="inlineStr">
        <is>
          <t>CARD-0199</t>
        </is>
      </c>
      <c r="B199" s="2" t="inlineStr">
        <is>
          <t>Harmony Pearlwood &amp; the Nautical Deepwaters</t>
        </is>
      </c>
      <c r="C199" s="2" t="inlineStr">
        <is>
          <t>DAEL</t>
        </is>
      </c>
      <c r="D199" s="2" t="inlineStr">
        <is>
          <t>029</t>
        </is>
      </c>
      <c r="E199" s="2" t="inlineStr">
        <is>
          <t>Dawn of the Elements</t>
        </is>
      </c>
      <c r="F199" s="2" t="inlineStr">
        <is>
          <t>Monster</t>
        </is>
      </c>
      <c r="G199" s="2" t="inlineStr">
        <is>
          <t>Aqua / Effect</t>
        </is>
      </c>
      <c r="H199" s="2" t="inlineStr">
        <is>
          <t>Nautica</t>
        </is>
      </c>
      <c r="I199" s="2" t="inlineStr">
        <is>
          <t>2025-07-22</t>
        </is>
      </c>
      <c r="J199" s="2" t="inlineStr">
        <is>
          <t>/assets/cards/Harmony_Pearlwood__the_Nautical_Deepwaters.jpeg</t>
        </is>
      </c>
      <c r="K199" s="2" t="inlineStr">
        <is>
          <t>No</t>
        </is>
      </c>
      <c r="L199" s="2" t="inlineStr">
        <is>
          <t>No</t>
        </is>
      </c>
      <c r="M199" s="2" t="inlineStr">
        <is>
          <t>No</t>
        </is>
      </c>
      <c r="N199" s="2">
        <f>IF(AND($K199="Yes",$L199="Yes",$M199="Yes"),"Yes","No")</f>
        <v/>
      </c>
      <c r="O199" s="2" t="inlineStr"/>
    </row>
    <row r="200">
      <c r="A200" s="2" t="inlineStr">
        <is>
          <t>CARD-0200</t>
        </is>
      </c>
      <c r="B200" s="2" t="inlineStr">
        <is>
          <t>Melody Merheart &amp; the Nautical Coral Reef</t>
        </is>
      </c>
      <c r="C200" s="2" t="inlineStr">
        <is>
          <t>DAEL</t>
        </is>
      </c>
      <c r="D200" s="2" t="inlineStr">
        <is>
          <t>030</t>
        </is>
      </c>
      <c r="E200" s="2" t="inlineStr">
        <is>
          <t>Dawn of the Elements</t>
        </is>
      </c>
      <c r="F200" s="2" t="inlineStr">
        <is>
          <t>Monster</t>
        </is>
      </c>
      <c r="G200" s="2" t="inlineStr">
        <is>
          <t>Aqua / Effect</t>
        </is>
      </c>
      <c r="H200" s="2" t="inlineStr">
        <is>
          <t>Nautica</t>
        </is>
      </c>
      <c r="I200" s="2" t="inlineStr">
        <is>
          <t>2025-07-22</t>
        </is>
      </c>
      <c r="J200" s="2" t="inlineStr">
        <is>
          <t>/assets/cards/Melody_Merheart__the_Nautical_Coral_Reef.jpeg</t>
        </is>
      </c>
      <c r="K200" s="2" t="inlineStr">
        <is>
          <t>No</t>
        </is>
      </c>
      <c r="L200" s="2" t="inlineStr">
        <is>
          <t>No</t>
        </is>
      </c>
      <c r="M200" s="2" t="inlineStr">
        <is>
          <t>No</t>
        </is>
      </c>
      <c r="N200" s="2">
        <f>IF(AND($K200="Yes",$L200="Yes",$M200="Yes"),"Yes","No")</f>
        <v/>
      </c>
      <c r="O200" s="2" t="inlineStr"/>
    </row>
    <row r="201">
      <c r="A201" s="2" t="inlineStr">
        <is>
          <t>CARD-00201</t>
        </is>
      </c>
      <c r="B201" s="2" t="inlineStr">
        <is>
          <t>Emma Oceannus &amp; the Nautical Coastlines</t>
        </is>
      </c>
      <c r="C201" s="2" t="inlineStr">
        <is>
          <t>DAEL</t>
        </is>
      </c>
      <c r="D201" s="2" t="inlineStr">
        <is>
          <t>031</t>
        </is>
      </c>
      <c r="E201" s="2" t="inlineStr">
        <is>
          <t>Dawn of the Elements</t>
        </is>
      </c>
      <c r="F201" s="2" t="inlineStr">
        <is>
          <t>Monster</t>
        </is>
      </c>
      <c r="G201" s="2" t="inlineStr">
        <is>
          <t>Aqua / Effect</t>
        </is>
      </c>
      <c r="H201" s="2" t="inlineStr">
        <is>
          <t>Nautica</t>
        </is>
      </c>
      <c r="I201" s="2" t="inlineStr">
        <is>
          <t>2025-07-22</t>
        </is>
      </c>
      <c r="J201" s="2" t="inlineStr">
        <is>
          <t>/assets/cards/Emma_Oceannus_&amp;_the_Nautical_Coastlines.jpeg</t>
        </is>
      </c>
      <c r="K201" s="2" t="inlineStr">
        <is>
          <t>No</t>
        </is>
      </c>
      <c r="L201" s="2" t="inlineStr">
        <is>
          <t>No</t>
        </is>
      </c>
      <c r="M201" s="2" t="inlineStr">
        <is>
          <t>No</t>
        </is>
      </c>
      <c r="N201" s="2">
        <f>IF(AND($K201="Yes",$L201="Yes",$M201="Yes"),"Yes","No")</f>
        <v/>
      </c>
      <c r="O201" s="2" t="inlineStr"/>
    </row>
    <row r="202">
      <c r="A202" s="2" t="inlineStr">
        <is>
          <t>CARD-00202</t>
        </is>
      </c>
      <c r="B202" s="2" t="inlineStr">
        <is>
          <t>Bobbie Bluefin &amp; the Nautical Nocturnes</t>
        </is>
      </c>
      <c r="C202" s="2" t="inlineStr">
        <is>
          <t>DAEL</t>
        </is>
      </c>
      <c r="D202" s="2" t="inlineStr">
        <is>
          <t>032</t>
        </is>
      </c>
      <c r="E202" s="2" t="inlineStr">
        <is>
          <t>Dawn of the Elements</t>
        </is>
      </c>
      <c r="F202" s="2" t="inlineStr">
        <is>
          <t>Monster</t>
        </is>
      </c>
      <c r="G202" s="2" t="inlineStr">
        <is>
          <t>Aqua / Effect</t>
        </is>
      </c>
      <c r="H202" s="2" t="inlineStr">
        <is>
          <t>Nautica</t>
        </is>
      </c>
      <c r="I202" s="2" t="inlineStr">
        <is>
          <t>2025-07-22</t>
        </is>
      </c>
      <c r="J202" s="2" t="inlineStr">
        <is>
          <t>/assets/cards/Bobbie_Bluefin_&amp;_the_Nautical_Nocturnes.jpeg</t>
        </is>
      </c>
      <c r="K202" s="2" t="inlineStr">
        <is>
          <t>No</t>
        </is>
      </c>
      <c r="L202" s="2" t="inlineStr">
        <is>
          <t>No</t>
        </is>
      </c>
      <c r="M202" s="2" t="inlineStr">
        <is>
          <t>No</t>
        </is>
      </c>
      <c r="N202" s="2">
        <f>IF(AND($K202="Yes",$L202="Yes",$M202="Yes"),"Yes","No")</f>
        <v/>
      </c>
      <c r="O202" s="2" t="inlineStr"/>
    </row>
    <row r="203">
      <c r="A203" s="2" t="inlineStr">
        <is>
          <t>CARD-00203</t>
        </is>
      </c>
      <c r="B203" s="2" t="inlineStr">
        <is>
          <t>Scarlet Seareef &amp; the Nautical Creatures</t>
        </is>
      </c>
      <c r="C203" s="2" t="inlineStr">
        <is>
          <t>DAEL</t>
        </is>
      </c>
      <c r="D203" s="2" t="inlineStr">
        <is>
          <t>033</t>
        </is>
      </c>
      <c r="E203" s="2" t="inlineStr">
        <is>
          <t>Dawn of the Elements</t>
        </is>
      </c>
      <c r="F203" s="2" t="inlineStr">
        <is>
          <t>Monster</t>
        </is>
      </c>
      <c r="G203" s="2" t="inlineStr">
        <is>
          <t>Aqua / Effect</t>
        </is>
      </c>
      <c r="H203" s="2" t="inlineStr">
        <is>
          <t>Nautica</t>
        </is>
      </c>
      <c r="I203" s="2" t="inlineStr">
        <is>
          <t>2025-07-22</t>
        </is>
      </c>
      <c r="J203" s="2" t="inlineStr">
        <is>
          <t>/assets/cards/Scarlet_Seareef_&amp;_the_Nautical_Creatures.jpeg</t>
        </is>
      </c>
      <c r="K203" s="2" t="inlineStr">
        <is>
          <t>No</t>
        </is>
      </c>
      <c r="L203" s="2" t="inlineStr">
        <is>
          <t>No</t>
        </is>
      </c>
      <c r="M203" s="2" t="inlineStr">
        <is>
          <t>No</t>
        </is>
      </c>
      <c r="N203" s="2">
        <f>IF(AND($K203="Yes",$L203="Yes",$M203="Yes"),"Yes","No")</f>
        <v/>
      </c>
      <c r="O203" s="2" t="inlineStr"/>
    </row>
    <row r="204">
      <c r="A204" s="2" t="inlineStr">
        <is>
          <t>CARD-00204</t>
        </is>
      </c>
      <c r="B204" s="2" t="inlineStr">
        <is>
          <t>Evander Coldwater &amp; the Nautical Abyss</t>
        </is>
      </c>
      <c r="C204" s="2" t="inlineStr">
        <is>
          <t>DAEL</t>
        </is>
      </c>
      <c r="D204" s="2" t="inlineStr">
        <is>
          <t>034</t>
        </is>
      </c>
      <c r="E204" s="2" t="inlineStr">
        <is>
          <t>Dawn of the Elements</t>
        </is>
      </c>
      <c r="F204" s="2" t="inlineStr">
        <is>
          <t>Monster</t>
        </is>
      </c>
      <c r="G204" s="2" t="inlineStr">
        <is>
          <t>Aqua / Xyz / Effect</t>
        </is>
      </c>
      <c r="H204" s="2" t="inlineStr">
        <is>
          <t>Nautica</t>
        </is>
      </c>
      <c r="I204" s="2" t="inlineStr">
        <is>
          <t>2025-07-22</t>
        </is>
      </c>
      <c r="J204" s="2" t="inlineStr">
        <is>
          <t>/assets/cards/Evander_Coldwater_&amp;_the_Nautical_Abyss.jpeg</t>
        </is>
      </c>
      <c r="K204" s="2" t="inlineStr">
        <is>
          <t>No</t>
        </is>
      </c>
      <c r="L204" s="2" t="inlineStr">
        <is>
          <t>No</t>
        </is>
      </c>
      <c r="M204" s="2" t="inlineStr">
        <is>
          <t>No</t>
        </is>
      </c>
      <c r="N204" s="2">
        <f>IF(AND($K204="Yes",$L204="Yes",$M204="Yes"),"Yes","No")</f>
        <v/>
      </c>
      <c r="O204" s="2" t="inlineStr"/>
    </row>
    <row r="205">
      <c r="A205" s="2" t="inlineStr">
        <is>
          <t>CARD-00205</t>
        </is>
      </c>
      <c r="B205" s="2" t="inlineStr">
        <is>
          <t>Nautical Backwashing &amp; Oceanic Waves</t>
        </is>
      </c>
      <c r="C205" s="2" t="inlineStr">
        <is>
          <t>DAEL</t>
        </is>
      </c>
      <c r="D205" s="2" t="inlineStr">
        <is>
          <t>035</t>
        </is>
      </c>
      <c r="E205" s="2" t="inlineStr">
        <is>
          <t>Dawn of the Elements</t>
        </is>
      </c>
      <c r="F205" s="2" t="inlineStr">
        <is>
          <t>Trap</t>
        </is>
      </c>
      <c r="G205" s="2" t="inlineStr">
        <is>
          <t>Trap / Normal</t>
        </is>
      </c>
      <c r="H205" s="2" t="inlineStr">
        <is>
          <t>Nautica</t>
        </is>
      </c>
      <c r="I205" s="2" t="inlineStr">
        <is>
          <t>2025-07-22</t>
        </is>
      </c>
      <c r="J205" s="2" t="inlineStr">
        <is>
          <t>/assets/cards/Nautical_Backwashing_&amp;_Oceanic_Waves.jpeg</t>
        </is>
      </c>
      <c r="K205" s="2" t="inlineStr">
        <is>
          <t>No</t>
        </is>
      </c>
      <c r="L205" s="2" t="inlineStr">
        <is>
          <t>No</t>
        </is>
      </c>
      <c r="M205" s="2" t="inlineStr">
        <is>
          <t>No</t>
        </is>
      </c>
      <c r="N205" s="2">
        <f>IF(AND($K205="Yes",$L205="Yes",$M205="Yes"),"Yes","No")</f>
        <v/>
      </c>
      <c r="O205" s="2" t="inlineStr"/>
    </row>
    <row r="206">
      <c r="A206" s="2" t="inlineStr">
        <is>
          <t>CARD-00206</t>
        </is>
      </c>
      <c r="B206" s="2" t="inlineStr">
        <is>
          <t>Melissa Oceanheart &amp; the Nautical Seabed</t>
        </is>
      </c>
      <c r="C206" s="2" t="inlineStr">
        <is>
          <t>DAEL</t>
        </is>
      </c>
      <c r="D206" s="2" t="inlineStr">
        <is>
          <t>036</t>
        </is>
      </c>
      <c r="E206" s="2" t="inlineStr">
        <is>
          <t>Dawn of the Elements</t>
        </is>
      </c>
      <c r="F206" s="2" t="inlineStr">
        <is>
          <t>Monster</t>
        </is>
      </c>
      <c r="G206" s="2" t="inlineStr">
        <is>
          <t>Aqua / Xyz / Effect</t>
        </is>
      </c>
      <c r="H206" s="2" t="inlineStr">
        <is>
          <t>Nautica</t>
        </is>
      </c>
      <c r="I206" s="2" t="inlineStr">
        <is>
          <t>2025-07-22</t>
        </is>
      </c>
      <c r="J206" s="2" t="inlineStr">
        <is>
          <t>/assets/cards/Melissa_Oceanheart_&amp;_the_Nautical_Seabed.jpeg</t>
        </is>
      </c>
      <c r="K206" s="2" t="inlineStr">
        <is>
          <t>No</t>
        </is>
      </c>
      <c r="L206" s="2" t="inlineStr">
        <is>
          <t>No</t>
        </is>
      </c>
      <c r="M206" s="2" t="inlineStr">
        <is>
          <t>No</t>
        </is>
      </c>
      <c r="N206" s="2">
        <f>IF(AND($K206="Yes",$L206="Yes",$M206="Yes"),"Yes","No")</f>
        <v/>
      </c>
      <c r="O206" s="2" t="inlineStr"/>
    </row>
    <row r="207">
      <c r="A207" s="2" t="inlineStr">
        <is>
          <t>CARD-00207</t>
        </is>
      </c>
      <c r="B207" s="2" t="inlineStr">
        <is>
          <t>Exploring the Nautical Waters</t>
        </is>
      </c>
      <c r="C207" s="2" t="inlineStr">
        <is>
          <t>DAEL</t>
        </is>
      </c>
      <c r="D207" s="2" t="inlineStr">
        <is>
          <t>037</t>
        </is>
      </c>
      <c r="E207" s="2" t="inlineStr">
        <is>
          <t>Dawn of the Elements</t>
        </is>
      </c>
      <c r="F207" s="2" t="inlineStr">
        <is>
          <t>Spell</t>
        </is>
      </c>
      <c r="G207" s="2" t="inlineStr">
        <is>
          <t>Spell / Normal</t>
        </is>
      </c>
      <c r="H207" s="2" t="inlineStr">
        <is>
          <t>Nautica</t>
        </is>
      </c>
      <c r="I207" s="2" t="inlineStr">
        <is>
          <t>2025-07-22</t>
        </is>
      </c>
      <c r="J207" s="2" t="inlineStr">
        <is>
          <t>/assets/cards/Exploring_the_Nautical_Waters.jpeg</t>
        </is>
      </c>
      <c r="K207" s="2" t="inlineStr">
        <is>
          <t>No</t>
        </is>
      </c>
      <c r="L207" s="2" t="inlineStr">
        <is>
          <t>No</t>
        </is>
      </c>
      <c r="M207" s="2" t="inlineStr">
        <is>
          <t>No</t>
        </is>
      </c>
      <c r="N207" s="2">
        <f>IF(AND($K207="Yes",$L207="Yes",$M207="Yes"),"Yes","No")</f>
        <v/>
      </c>
      <c r="O207" s="2" t="inlineStr"/>
    </row>
    <row r="208">
      <c r="A208" s="2" t="inlineStr">
        <is>
          <t>CARD-00208</t>
        </is>
      </c>
      <c r="B208" s="2" t="inlineStr">
        <is>
          <t>Nautical Adventures &amp; Torrential Seas</t>
        </is>
      </c>
      <c r="C208" s="2" t="inlineStr">
        <is>
          <t>DAEL</t>
        </is>
      </c>
      <c r="D208" s="2" t="inlineStr">
        <is>
          <t>038</t>
        </is>
      </c>
      <c r="E208" s="2" t="inlineStr">
        <is>
          <t>Dawn of the Elements</t>
        </is>
      </c>
      <c r="F208" s="2" t="inlineStr">
        <is>
          <t>Trap</t>
        </is>
      </c>
      <c r="G208" s="2" t="inlineStr">
        <is>
          <t>Trap / Normal</t>
        </is>
      </c>
      <c r="H208" s="2" t="inlineStr">
        <is>
          <t>Nautica</t>
        </is>
      </c>
      <c r="I208" s="2" t="inlineStr">
        <is>
          <t>2025-07-22</t>
        </is>
      </c>
      <c r="J208" s="2" t="inlineStr">
        <is>
          <t>/assets/cards/Nautical_Adventures_&amp;_Torrential_Seas.jpeg</t>
        </is>
      </c>
      <c r="K208" s="2" t="inlineStr">
        <is>
          <t>No</t>
        </is>
      </c>
      <c r="L208" s="2" t="inlineStr">
        <is>
          <t>No</t>
        </is>
      </c>
      <c r="M208" s="2" t="inlineStr">
        <is>
          <t>No</t>
        </is>
      </c>
      <c r="N208" s="2">
        <f>IF(AND($K208="Yes",$L208="Yes",$M208="Yes"),"Yes","No")</f>
        <v/>
      </c>
      <c r="O208" s="2" t="inlineStr"/>
    </row>
    <row r="209">
      <c r="A209" s="2" t="inlineStr">
        <is>
          <t>CARD-00209</t>
        </is>
      </c>
      <c r="B209" s="2" t="inlineStr">
        <is>
          <t>Bob</t>
        </is>
      </c>
      <c r="C209" s="2" t="inlineStr">
        <is>
          <t>DAEL</t>
        </is>
      </c>
      <c r="D209" s="2" t="inlineStr">
        <is>
          <t>039</t>
        </is>
      </c>
      <c r="E209" s="2" t="inlineStr">
        <is>
          <t>Dawn of the Elements</t>
        </is>
      </c>
      <c r="F209" s="2" t="inlineStr">
        <is>
          <t>Monster</t>
        </is>
      </c>
      <c r="G209" s="2" t="inlineStr">
        <is>
          <t>Aqua / Tuner / Normal</t>
        </is>
      </c>
      <c r="H209" s="2" t="inlineStr">
        <is>
          <t>Bob</t>
        </is>
      </c>
      <c r="I209" s="2" t="inlineStr">
        <is>
          <t>2025-07-22</t>
        </is>
      </c>
      <c r="J209" s="2" t="inlineStr">
        <is>
          <t>/assets/cards/Bob.jpeg</t>
        </is>
      </c>
      <c r="K209" s="2" t="inlineStr">
        <is>
          <t>No</t>
        </is>
      </c>
      <c r="L209" s="2" t="inlineStr">
        <is>
          <t>No</t>
        </is>
      </c>
      <c r="M209" s="2" t="inlineStr">
        <is>
          <t>No</t>
        </is>
      </c>
      <c r="N209" s="2">
        <f>IF(AND($K209="Yes",$L209="Yes",$M209="Yes"),"Yes","No")</f>
        <v/>
      </c>
      <c r="O209" s="2" t="inlineStr"/>
    </row>
    <row r="210">
      <c r="A210" s="2" t="inlineStr">
        <is>
          <t>CARD-00210</t>
        </is>
      </c>
      <c r="B210" s="2" t="inlineStr">
        <is>
          <t>Bob, but Stronger!</t>
        </is>
      </c>
      <c r="C210" s="2" t="inlineStr">
        <is>
          <t>DAEL</t>
        </is>
      </c>
      <c r="D210" s="2" t="inlineStr">
        <is>
          <t>040</t>
        </is>
      </c>
      <c r="E210" s="2" t="inlineStr">
        <is>
          <t>Dawn of the Elements</t>
        </is>
      </c>
      <c r="F210" s="2" t="inlineStr">
        <is>
          <t>Monster</t>
        </is>
      </c>
      <c r="G210" s="2" t="inlineStr">
        <is>
          <t>Aqua / Fusion / Tuner / Effect</t>
        </is>
      </c>
      <c r="H210" s="2" t="inlineStr">
        <is>
          <t>Bob</t>
        </is>
      </c>
      <c r="I210" s="2" t="inlineStr">
        <is>
          <t>2025-07-22</t>
        </is>
      </c>
      <c r="J210" s="2" t="inlineStr">
        <is>
          <t>/assets/cards/Bob_but_Stronger.jpeg</t>
        </is>
      </c>
      <c r="K210" s="2" t="inlineStr">
        <is>
          <t>No</t>
        </is>
      </c>
      <c r="L210" s="2" t="inlineStr">
        <is>
          <t>No</t>
        </is>
      </c>
      <c r="M210" s="2" t="inlineStr">
        <is>
          <t>No</t>
        </is>
      </c>
      <c r="N210" s="2">
        <f>IF(AND($K210="Yes",$L210="Yes",$M210="Yes"),"Yes","No")</f>
        <v/>
      </c>
      <c r="O210" s="2" t="inlineStr"/>
    </row>
    <row r="211">
      <c r="A211" s="2" t="inlineStr">
        <is>
          <t>CARD-00211</t>
        </is>
      </c>
      <c r="B211" s="2" t="inlineStr">
        <is>
          <t>Bookkeeper of Crying Chaos</t>
        </is>
      </c>
      <c r="C211" s="2" t="inlineStr">
        <is>
          <t>DAEL</t>
        </is>
      </c>
      <c r="D211" s="2" t="inlineStr">
        <is>
          <t>041</t>
        </is>
      </c>
      <c r="E211" s="2" t="inlineStr">
        <is>
          <t>Dawn of the Elements</t>
        </is>
      </c>
      <c r="F211" s="2" t="inlineStr">
        <is>
          <t>Monster</t>
        </is>
      </c>
      <c r="G211" s="2" t="inlineStr">
        <is>
          <t>Zombie / Effect</t>
        </is>
      </c>
      <c r="H211" s="2" t="inlineStr">
        <is>
          <t>Crying Chaos</t>
        </is>
      </c>
      <c r="I211" s="2" t="inlineStr">
        <is>
          <t>2025-07-22</t>
        </is>
      </c>
      <c r="J211" s="2" t="inlineStr">
        <is>
          <t>/assets/cards/Bookkeeper_of_Crying_Chaos.jpeg</t>
        </is>
      </c>
      <c r="K211" s="2" t="inlineStr">
        <is>
          <t>No</t>
        </is>
      </c>
      <c r="L211" s="2" t="inlineStr">
        <is>
          <t>No</t>
        </is>
      </c>
      <c r="M211" s="2" t="inlineStr">
        <is>
          <t>No</t>
        </is>
      </c>
      <c r="N211" s="2">
        <f>IF(AND($K211="Yes",$L211="Yes",$M211="Yes"),"Yes","No")</f>
        <v/>
      </c>
      <c r="O211" s="2" t="inlineStr"/>
    </row>
    <row r="212">
      <c r="A212" s="2" t="inlineStr">
        <is>
          <t>CARD-00212</t>
        </is>
      </c>
      <c r="B212" s="2" t="inlineStr">
        <is>
          <t>Crow of Crying Chaos</t>
        </is>
      </c>
      <c r="C212" s="2" t="inlineStr">
        <is>
          <t>DAEL</t>
        </is>
      </c>
      <c r="D212" s="2" t="inlineStr">
        <is>
          <t>042</t>
        </is>
      </c>
      <c r="E212" s="2" t="inlineStr">
        <is>
          <t>Dawn of the Elements</t>
        </is>
      </c>
      <c r="F212" s="2" t="inlineStr">
        <is>
          <t>Monster</t>
        </is>
      </c>
      <c r="G212" s="2" t="inlineStr">
        <is>
          <t>Zombie / Tuner / Normal</t>
        </is>
      </c>
      <c r="H212" s="2" t="inlineStr">
        <is>
          <t>Crying Chaos</t>
        </is>
      </c>
      <c r="I212" s="2" t="inlineStr">
        <is>
          <t>2025-07-22</t>
        </is>
      </c>
      <c r="J212" s="2" t="inlineStr">
        <is>
          <t>/assets/cards/Crow_of_Crying_Chaos.jpeg</t>
        </is>
      </c>
      <c r="K212" s="2" t="inlineStr">
        <is>
          <t>No</t>
        </is>
      </c>
      <c r="L212" s="2" t="inlineStr">
        <is>
          <t>No</t>
        </is>
      </c>
      <c r="M212" s="2" t="inlineStr">
        <is>
          <t>No</t>
        </is>
      </c>
      <c r="N212" s="2">
        <f>IF(AND($K212="Yes",$L212="Yes",$M212="Yes"),"Yes","No")</f>
        <v/>
      </c>
      <c r="O212" s="2" t="inlineStr"/>
    </row>
    <row r="213">
      <c r="A213" s="2" t="inlineStr">
        <is>
          <t>CARD-00213</t>
        </is>
      </c>
      <c r="B213" s="2" t="inlineStr">
        <is>
          <t>Plague Doctor of Crying Chaos</t>
        </is>
      </c>
      <c r="C213" s="2" t="inlineStr">
        <is>
          <t>DAEL</t>
        </is>
      </c>
      <c r="D213" s="2" t="inlineStr">
        <is>
          <t>043</t>
        </is>
      </c>
      <c r="E213" s="2" t="inlineStr">
        <is>
          <t>Dawn of the Elements</t>
        </is>
      </c>
      <c r="F213" s="2" t="inlineStr">
        <is>
          <t>Monster</t>
        </is>
      </c>
      <c r="G213" s="2" t="inlineStr">
        <is>
          <t>Zombie / Effect</t>
        </is>
      </c>
      <c r="H213" s="2" t="inlineStr">
        <is>
          <t>Crying Chaos</t>
        </is>
      </c>
      <c r="I213" s="2" t="inlineStr">
        <is>
          <t>2025-07-22</t>
        </is>
      </c>
      <c r="J213" s="2" t="inlineStr">
        <is>
          <t>/assets/cards/Plague_Doctor_of_Crying_Chaos.jpeg</t>
        </is>
      </c>
      <c r="K213" s="2" t="inlineStr">
        <is>
          <t>No</t>
        </is>
      </c>
      <c r="L213" s="2" t="inlineStr">
        <is>
          <t>No</t>
        </is>
      </c>
      <c r="M213" s="2" t="inlineStr">
        <is>
          <t>No</t>
        </is>
      </c>
      <c r="N213" s="2">
        <f>IF(AND($K213="Yes",$L213="Yes",$M213="Yes"),"Yes","No")</f>
        <v/>
      </c>
      <c r="O213" s="2" t="inlineStr"/>
    </row>
    <row r="214">
      <c r="A214" s="2" t="inlineStr">
        <is>
          <t>CARD-00214</t>
        </is>
      </c>
      <c r="B214" s="2" t="inlineStr">
        <is>
          <t>Scarecrow of Crying Chaos</t>
        </is>
      </c>
      <c r="C214" s="2" t="inlineStr">
        <is>
          <t>DAEL</t>
        </is>
      </c>
      <c r="D214" s="2" t="inlineStr">
        <is>
          <t>044</t>
        </is>
      </c>
      <c r="E214" s="2" t="inlineStr">
        <is>
          <t>Dawn of the Elements</t>
        </is>
      </c>
      <c r="F214" s="2" t="inlineStr">
        <is>
          <t>Monster</t>
        </is>
      </c>
      <c r="G214" s="2" t="inlineStr">
        <is>
          <t>Zombie / Tuner / Effect</t>
        </is>
      </c>
      <c r="H214" s="2" t="inlineStr">
        <is>
          <t>Crying Chaos</t>
        </is>
      </c>
      <c r="I214" s="2" t="inlineStr">
        <is>
          <t>2025-07-22</t>
        </is>
      </c>
      <c r="J214" s="2" t="inlineStr">
        <is>
          <t>/assets/cards/Scarecrow_of_Crying_Chaos.jpeg</t>
        </is>
      </c>
      <c r="K214" s="2" t="inlineStr">
        <is>
          <t>No</t>
        </is>
      </c>
      <c r="L214" s="2" t="inlineStr">
        <is>
          <t>No</t>
        </is>
      </c>
      <c r="M214" s="2" t="inlineStr">
        <is>
          <t>No</t>
        </is>
      </c>
      <c r="N214" s="2">
        <f>IF(AND($K214="Yes",$L214="Yes",$M214="Yes"),"Yes","No")</f>
        <v/>
      </c>
      <c r="O214" s="2" t="inlineStr"/>
    </row>
    <row r="215">
      <c r="A215" s="2" t="inlineStr">
        <is>
          <t>CARD-00215</t>
        </is>
      </c>
      <c r="B215" s="2" t="inlineStr">
        <is>
          <t>Slug of Crying Chaos</t>
        </is>
      </c>
      <c r="C215" s="2" t="inlineStr">
        <is>
          <t>DAEL</t>
        </is>
      </c>
      <c r="D215" s="2" t="inlineStr">
        <is>
          <t>045</t>
        </is>
      </c>
      <c r="E215" s="2" t="inlineStr">
        <is>
          <t>Dawn of the Elements</t>
        </is>
      </c>
      <c r="F215" s="2" t="inlineStr">
        <is>
          <t>Monster</t>
        </is>
      </c>
      <c r="G215" s="2" t="inlineStr">
        <is>
          <t>Zombie / Effect</t>
        </is>
      </c>
      <c r="H215" s="2" t="inlineStr">
        <is>
          <t>Crying Chaos</t>
        </is>
      </c>
      <c r="I215" s="2" t="inlineStr">
        <is>
          <t>2025-07-22</t>
        </is>
      </c>
      <c r="J215" s="2" t="inlineStr">
        <is>
          <t>/assets/cards/Slug_of_Crying_Chaos.jpeg</t>
        </is>
      </c>
      <c r="K215" s="2" t="inlineStr">
        <is>
          <t>No</t>
        </is>
      </c>
      <c r="L215" s="2" t="inlineStr">
        <is>
          <t>No</t>
        </is>
      </c>
      <c r="M215" s="2" t="inlineStr">
        <is>
          <t>No</t>
        </is>
      </c>
      <c r="N215" s="2">
        <f>IF(AND($K215="Yes",$L215="Yes",$M215="Yes"),"Yes","No")</f>
        <v/>
      </c>
      <c r="O215" s="2" t="inlineStr"/>
    </row>
    <row r="216">
      <c r="A216" s="2" t="inlineStr">
        <is>
          <t>CARD-00216</t>
        </is>
      </c>
      <c r="B216" s="2" t="inlineStr">
        <is>
          <t>Witch of Crying Chaos</t>
        </is>
      </c>
      <c r="C216" s="2" t="inlineStr">
        <is>
          <t>DAEL</t>
        </is>
      </c>
      <c r="D216" s="2" t="inlineStr">
        <is>
          <t>046</t>
        </is>
      </c>
      <c r="E216" s="2" t="inlineStr">
        <is>
          <t>Dawn of the Elements</t>
        </is>
      </c>
      <c r="F216" s="2" t="inlineStr">
        <is>
          <t>Monster</t>
        </is>
      </c>
      <c r="G216" s="2" t="inlineStr">
        <is>
          <t>Zombie / Effect</t>
        </is>
      </c>
      <c r="H216" s="2" t="inlineStr">
        <is>
          <t>Crying Chaos</t>
        </is>
      </c>
      <c r="I216" s="2" t="inlineStr">
        <is>
          <t>2025-07-22</t>
        </is>
      </c>
      <c r="J216" s="2" t="inlineStr">
        <is>
          <t>/assets/cards/Witch_of_Crying_Chaos.jpeg</t>
        </is>
      </c>
      <c r="K216" s="2" t="inlineStr">
        <is>
          <t>No</t>
        </is>
      </c>
      <c r="L216" s="2" t="inlineStr">
        <is>
          <t>No</t>
        </is>
      </c>
      <c r="M216" s="2" t="inlineStr">
        <is>
          <t>No</t>
        </is>
      </c>
      <c r="N216" s="2">
        <f>IF(AND($K216="Yes",$L216="Yes",$M216="Yes"),"Yes","No")</f>
        <v/>
      </c>
      <c r="O216" s="2" t="inlineStr"/>
    </row>
    <row r="217">
      <c r="A217" s="2" t="inlineStr">
        <is>
          <t>CARD-00217</t>
        </is>
      </c>
      <c r="B217" s="2" t="inlineStr">
        <is>
          <t>Hunter of Crying Chaos</t>
        </is>
      </c>
      <c r="C217" s="2" t="inlineStr">
        <is>
          <t>DAEL</t>
        </is>
      </c>
      <c r="D217" s="2" t="inlineStr">
        <is>
          <t>047</t>
        </is>
      </c>
      <c r="E217" s="2" t="inlineStr">
        <is>
          <t>Dawn of the Elements</t>
        </is>
      </c>
      <c r="F217" s="2" t="inlineStr">
        <is>
          <t>Monster</t>
        </is>
      </c>
      <c r="G217" s="2" t="inlineStr">
        <is>
          <t>Zombie / Effect</t>
        </is>
      </c>
      <c r="H217" s="2" t="inlineStr">
        <is>
          <t>Crying Chaos</t>
        </is>
      </c>
      <c r="I217" s="2" t="inlineStr">
        <is>
          <t>2025-07-22</t>
        </is>
      </c>
      <c r="J217" s="2" t="inlineStr">
        <is>
          <t>/assets/cards/Hunter_of_Crying_Chaos.jpeg</t>
        </is>
      </c>
      <c r="K217" s="2" t="inlineStr">
        <is>
          <t>No</t>
        </is>
      </c>
      <c r="L217" s="2" t="inlineStr">
        <is>
          <t>No</t>
        </is>
      </c>
      <c r="M217" s="2" t="inlineStr">
        <is>
          <t>No</t>
        </is>
      </c>
      <c r="N217" s="2">
        <f>IF(AND($K217="Yes",$L217="Yes",$M217="Yes"),"Yes","No")</f>
        <v/>
      </c>
      <c r="O217" s="2" t="inlineStr"/>
    </row>
    <row r="218">
      <c r="A218" s="2" t="inlineStr">
        <is>
          <t>CARD-00218</t>
        </is>
      </c>
      <c r="B218" s="2" t="inlineStr">
        <is>
          <t>Guardian of Crying Chaos</t>
        </is>
      </c>
      <c r="C218" s="2" t="inlineStr">
        <is>
          <t>DAEL</t>
        </is>
      </c>
      <c r="D218" s="2" t="inlineStr">
        <is>
          <t>048</t>
        </is>
      </c>
      <c r="E218" s="2" t="inlineStr">
        <is>
          <t>Dawn of the Elements</t>
        </is>
      </c>
      <c r="F218" s="2" t="inlineStr">
        <is>
          <t>Monster</t>
        </is>
      </c>
      <c r="G218" s="2" t="inlineStr">
        <is>
          <t>Zombie / Effect</t>
        </is>
      </c>
      <c r="H218" s="2" t="inlineStr">
        <is>
          <t>Crying Chaos</t>
        </is>
      </c>
      <c r="I218" s="2" t="inlineStr">
        <is>
          <t>2025-07-22</t>
        </is>
      </c>
      <c r="J218" s="2" t="inlineStr">
        <is>
          <t>/assets/cards/Guardian_of_Crying_Chaos.jpeg</t>
        </is>
      </c>
      <c r="K218" s="2" t="inlineStr">
        <is>
          <t>No</t>
        </is>
      </c>
      <c r="L218" s="2" t="inlineStr">
        <is>
          <t>No</t>
        </is>
      </c>
      <c r="M218" s="2" t="inlineStr">
        <is>
          <t>No</t>
        </is>
      </c>
      <c r="N218" s="2">
        <f>IF(AND($K218="Yes",$L218="Yes",$M218="Yes"),"Yes","No")</f>
        <v/>
      </c>
      <c r="O218" s="2" t="inlineStr"/>
    </row>
    <row r="219">
      <c r="A219" s="2" t="inlineStr">
        <is>
          <t>CARD-00219</t>
        </is>
      </c>
      <c r="B219" s="2" t="inlineStr">
        <is>
          <t>Goat of Crying Chaos</t>
        </is>
      </c>
      <c r="C219" s="2" t="inlineStr">
        <is>
          <t>DAEL</t>
        </is>
      </c>
      <c r="D219" s="2" t="inlineStr">
        <is>
          <t>049</t>
        </is>
      </c>
      <c r="E219" s="2" t="inlineStr">
        <is>
          <t>Dawn of the Elements</t>
        </is>
      </c>
      <c r="F219" s="2" t="inlineStr">
        <is>
          <t>Monster</t>
        </is>
      </c>
      <c r="G219" s="2" t="inlineStr">
        <is>
          <t>Zombie / Link / Effect</t>
        </is>
      </c>
      <c r="H219" s="2" t="inlineStr">
        <is>
          <t>Crying Chaos</t>
        </is>
      </c>
      <c r="I219" s="2" t="inlineStr">
        <is>
          <t>2025-07-22</t>
        </is>
      </c>
      <c r="J219" s="2" t="inlineStr">
        <is>
          <t>/assets/cards/Goat_of_Crying_Chaos.jpeg</t>
        </is>
      </c>
      <c r="K219" s="2" t="inlineStr">
        <is>
          <t>No</t>
        </is>
      </c>
      <c r="L219" s="2" t="inlineStr">
        <is>
          <t>No</t>
        </is>
      </c>
      <c r="M219" s="2" t="inlineStr">
        <is>
          <t>No</t>
        </is>
      </c>
      <c r="N219" s="2">
        <f>IF(AND($K219="Yes",$L219="Yes",$M219="Yes"),"Yes","No")</f>
        <v/>
      </c>
      <c r="O219" s="2" t="inlineStr"/>
    </row>
    <row r="220">
      <c r="A220" s="2" t="inlineStr">
        <is>
          <t>CARD-00220</t>
        </is>
      </c>
      <c r="B220" s="2" t="inlineStr">
        <is>
          <t>Zenatil, Criminal Bookkeeper of Crying Chaos</t>
        </is>
      </c>
      <c r="C220" s="2" t="inlineStr">
        <is>
          <t>DAEL</t>
        </is>
      </c>
      <c r="D220" s="2" t="inlineStr">
        <is>
          <t>050</t>
        </is>
      </c>
      <c r="E220" s="2" t="inlineStr">
        <is>
          <t>Dawn of the Elements</t>
        </is>
      </c>
      <c r="F220" s="2" t="inlineStr">
        <is>
          <t>Monster</t>
        </is>
      </c>
      <c r="G220" s="2" t="inlineStr">
        <is>
          <t>Zombie / Link / Effect</t>
        </is>
      </c>
      <c r="H220" s="2" t="inlineStr">
        <is>
          <t>Crying Chaos</t>
        </is>
      </c>
      <c r="I220" s="2" t="inlineStr">
        <is>
          <t>2025-07-22</t>
        </is>
      </c>
      <c r="J220" s="2" t="inlineStr">
        <is>
          <t>/assets/cards/Zenatil_Criminal_Bookkeeper_of_Crying_Chaos.jpeg</t>
        </is>
      </c>
      <c r="K220" s="2" t="inlineStr">
        <is>
          <t>No</t>
        </is>
      </c>
      <c r="L220" s="2" t="inlineStr">
        <is>
          <t>No</t>
        </is>
      </c>
      <c r="M220" s="2" t="inlineStr">
        <is>
          <t>No</t>
        </is>
      </c>
      <c r="N220" s="2">
        <f>IF(AND($K220="Yes",$L220="Yes",$M220="Yes"),"Yes","No")</f>
        <v/>
      </c>
      <c r="O220" s="2" t="inlineStr"/>
    </row>
    <row r="221">
      <c r="A221" s="2" t="inlineStr">
        <is>
          <t>CARD-00221</t>
        </is>
      </c>
      <c r="B221" s="2" t="inlineStr">
        <is>
          <t>Zebra of Crying Chaos</t>
        </is>
      </c>
      <c r="C221" s="2" t="inlineStr">
        <is>
          <t>DAEL</t>
        </is>
      </c>
      <c r="D221" s="2" t="inlineStr">
        <is>
          <t>051</t>
        </is>
      </c>
      <c r="E221" s="2" t="inlineStr">
        <is>
          <t>Dawn of the Elements</t>
        </is>
      </c>
      <c r="F221" s="2" t="inlineStr">
        <is>
          <t>Monster</t>
        </is>
      </c>
      <c r="G221" s="2" t="inlineStr">
        <is>
          <t>Zombie / Synchro / Tuner / Effect</t>
        </is>
      </c>
      <c r="H221" s="2" t="inlineStr">
        <is>
          <t>Crying Chaos</t>
        </is>
      </c>
      <c r="I221" s="2" t="inlineStr">
        <is>
          <t>2025-07-22</t>
        </is>
      </c>
      <c r="J221" s="2" t="inlineStr">
        <is>
          <t>/assets/cards/Zebra_of_Crying_Chaos.jpeg</t>
        </is>
      </c>
      <c r="K221" s="2" t="inlineStr">
        <is>
          <t>No</t>
        </is>
      </c>
      <c r="L221" s="2" t="inlineStr">
        <is>
          <t>No</t>
        </is>
      </c>
      <c r="M221" s="2" t="inlineStr">
        <is>
          <t>No</t>
        </is>
      </c>
      <c r="N221" s="2">
        <f>IF(AND($K221="Yes",$L221="Yes",$M221="Yes"),"Yes","No")</f>
        <v/>
      </c>
      <c r="O221" s="2" t="inlineStr"/>
    </row>
    <row r="222">
      <c r="A222" s="2" t="inlineStr">
        <is>
          <t>CARD-00222</t>
        </is>
      </c>
      <c r="B222" s="2" t="inlineStr">
        <is>
          <t>Ram of Crying Chaos</t>
        </is>
      </c>
      <c r="C222" s="2" t="inlineStr">
        <is>
          <t>DAEL</t>
        </is>
      </c>
      <c r="D222" s="2" t="inlineStr">
        <is>
          <t>052</t>
        </is>
      </c>
      <c r="E222" s="2" t="inlineStr">
        <is>
          <t>Dawn of the Elements</t>
        </is>
      </c>
      <c r="F222" s="2" t="inlineStr">
        <is>
          <t>Monster</t>
        </is>
      </c>
      <c r="G222" s="2" t="inlineStr">
        <is>
          <t>Zombie / Synchro / Effect</t>
        </is>
      </c>
      <c r="H222" s="2" t="inlineStr">
        <is>
          <t>Crying Chaos</t>
        </is>
      </c>
      <c r="I222" s="2" t="inlineStr">
        <is>
          <t>2025-07-22</t>
        </is>
      </c>
      <c r="J222" s="2" t="inlineStr">
        <is>
          <t>/assets/cards/Ram_of_Crying_Chaos.jpeg</t>
        </is>
      </c>
      <c r="K222" s="2" t="inlineStr">
        <is>
          <t>No</t>
        </is>
      </c>
      <c r="L222" s="2" t="inlineStr">
        <is>
          <t>No</t>
        </is>
      </c>
      <c r="M222" s="2" t="inlineStr">
        <is>
          <t>No</t>
        </is>
      </c>
      <c r="N222" s="2">
        <f>IF(AND($K222="Yes",$L222="Yes",$M222="Yes"),"Yes","No")</f>
        <v/>
      </c>
      <c r="O222" s="2" t="inlineStr"/>
    </row>
    <row r="223">
      <c r="A223" s="2" t="inlineStr">
        <is>
          <t>CARD-00223</t>
        </is>
      </c>
      <c r="B223" s="2" t="inlineStr">
        <is>
          <t>Natir, The Swords Master of Crying Chaos</t>
        </is>
      </c>
      <c r="C223" s="2" t="inlineStr">
        <is>
          <t>DAEL</t>
        </is>
      </c>
      <c r="D223" s="2" t="inlineStr">
        <is>
          <t>053</t>
        </is>
      </c>
      <c r="E223" s="2" t="inlineStr">
        <is>
          <t>Dawn of the Elements</t>
        </is>
      </c>
      <c r="F223" s="2" t="inlineStr">
        <is>
          <t>Monster</t>
        </is>
      </c>
      <c r="G223" s="2" t="inlineStr">
        <is>
          <t>Zombie / Synchro / Effect</t>
        </is>
      </c>
      <c r="H223" s="2" t="inlineStr">
        <is>
          <t>Crying Chaos</t>
        </is>
      </c>
      <c r="I223" s="2" t="inlineStr">
        <is>
          <t>2025-07-22</t>
        </is>
      </c>
      <c r="J223" s="2" t="inlineStr">
        <is>
          <t>/assets/cards/Natir_The_Swords_Master_of_Crying_Chaos.jpeg</t>
        </is>
      </c>
      <c r="K223" s="2" t="inlineStr">
        <is>
          <t>No</t>
        </is>
      </c>
      <c r="L223" s="2" t="inlineStr">
        <is>
          <t>No</t>
        </is>
      </c>
      <c r="M223" s="2" t="inlineStr">
        <is>
          <t>No</t>
        </is>
      </c>
      <c r="N223" s="2">
        <f>IF(AND($K223="Yes",$L223="Yes",$M223="Yes"),"Yes","No")</f>
        <v/>
      </c>
      <c r="O223" s="2" t="inlineStr"/>
    </row>
    <row r="224">
      <c r="A224" s="2" t="inlineStr">
        <is>
          <t>CARD-00224</t>
        </is>
      </c>
      <c r="B224" s="2" t="inlineStr">
        <is>
          <t>Revelation of Crying Chaos</t>
        </is>
      </c>
      <c r="C224" s="2" t="inlineStr">
        <is>
          <t>DAEL</t>
        </is>
      </c>
      <c r="D224" s="2" t="inlineStr">
        <is>
          <t>054</t>
        </is>
      </c>
      <c r="E224" s="2" t="inlineStr">
        <is>
          <t>Dawn of the Elements</t>
        </is>
      </c>
      <c r="F224" s="2" t="inlineStr">
        <is>
          <t>Monster</t>
        </is>
      </c>
      <c r="G224" s="2" t="inlineStr">
        <is>
          <t>Zombie / Synchro / Effect</t>
        </is>
      </c>
      <c r="H224" s="2" t="inlineStr">
        <is>
          <t>Crying Chaos</t>
        </is>
      </c>
      <c r="I224" s="2" t="inlineStr">
        <is>
          <t>2025-07-22</t>
        </is>
      </c>
      <c r="J224" s="2" t="inlineStr">
        <is>
          <t>/assets/cards/Revelation_of_Crying_Chaos.jpeg</t>
        </is>
      </c>
      <c r="K224" s="2" t="inlineStr">
        <is>
          <t>No</t>
        </is>
      </c>
      <c r="L224" s="2" t="inlineStr">
        <is>
          <t>No</t>
        </is>
      </c>
      <c r="M224" s="2" t="inlineStr">
        <is>
          <t>No</t>
        </is>
      </c>
      <c r="N224" s="2">
        <f>IF(AND($K224="Yes",$L224="Yes",$M224="Yes"),"Yes","No")</f>
        <v/>
      </c>
      <c r="O224" s="2" t="inlineStr"/>
    </row>
    <row r="225">
      <c r="A225" s="2" t="inlineStr">
        <is>
          <t>CARD-00225</t>
        </is>
      </c>
      <c r="B225" s="2" t="inlineStr">
        <is>
          <t>Chrono-Saur Raptor</t>
        </is>
      </c>
      <c r="C225" s="2" t="inlineStr"/>
      <c r="D225" s="2" t="inlineStr"/>
      <c r="E225" s="2" t="inlineStr">
        <is>
          <t>DAEL-0XX Dawn of the Elements</t>
        </is>
      </c>
      <c r="F225" s="2" t="inlineStr">
        <is>
          <t>Monster</t>
        </is>
      </c>
      <c r="G225" s="2" t="inlineStr">
        <is>
          <t>Dinosaur / Effect</t>
        </is>
      </c>
      <c r="H225" s="2" t="inlineStr">
        <is>
          <t>Chrono-Saur</t>
        </is>
      </c>
      <c r="I225" s="2" t="inlineStr">
        <is>
          <t>2025-07-22</t>
        </is>
      </c>
      <c r="J225" s="2" t="inlineStr">
        <is>
          <t>/assets/cards/Chrono-Saur_Raptor.jpeg</t>
        </is>
      </c>
      <c r="K225" s="2" t="inlineStr">
        <is>
          <t>No</t>
        </is>
      </c>
      <c r="L225" s="2" t="inlineStr">
        <is>
          <t>No</t>
        </is>
      </c>
      <c r="M225" s="2" t="inlineStr">
        <is>
          <t>No</t>
        </is>
      </c>
      <c r="N225" s="2">
        <f>IF(AND($K225="Yes",$L225="Yes",$M225="Yes"),"Yes","No")</f>
        <v/>
      </c>
      <c r="O225" s="2" t="inlineStr"/>
    </row>
    <row r="226">
      <c r="A226" s="2" t="inlineStr">
        <is>
          <t>CARD-00226</t>
        </is>
      </c>
      <c r="B226" s="2" t="inlineStr">
        <is>
          <t>Dragon of Crying Chaos</t>
        </is>
      </c>
      <c r="C226" s="2" t="inlineStr">
        <is>
          <t>DAEL</t>
        </is>
      </c>
      <c r="D226" s="2" t="inlineStr">
        <is>
          <t>056</t>
        </is>
      </c>
      <c r="E226" s="2" t="inlineStr">
        <is>
          <t>Dawn of the Elements</t>
        </is>
      </c>
      <c r="F226" s="2" t="inlineStr">
        <is>
          <t>Monster</t>
        </is>
      </c>
      <c r="G226" s="2" t="inlineStr">
        <is>
          <t>Zombie / Synchro / Effect</t>
        </is>
      </c>
      <c r="H226" s="2" t="inlineStr">
        <is>
          <t>Crying Chaos</t>
        </is>
      </c>
      <c r="I226" s="2" t="inlineStr">
        <is>
          <t>2025-07-22</t>
        </is>
      </c>
      <c r="J226" s="2" t="inlineStr">
        <is>
          <t>/assets/cards/Dragon_of_Crying_Chaos.jpeg</t>
        </is>
      </c>
      <c r="K226" s="2" t="inlineStr">
        <is>
          <t>No</t>
        </is>
      </c>
      <c r="L226" s="2" t="inlineStr">
        <is>
          <t>No</t>
        </is>
      </c>
      <c r="M226" s="2" t="inlineStr">
        <is>
          <t>No</t>
        </is>
      </c>
      <c r="N226" s="2">
        <f>IF(AND($K226="Yes",$L226="Yes",$M226="Yes"),"Yes","No")</f>
        <v/>
      </c>
      <c r="O226" s="2" t="inlineStr"/>
    </row>
    <row r="227">
      <c r="A227" s="2" t="inlineStr">
        <is>
          <t>CARD-00227</t>
        </is>
      </c>
      <c r="B227" s="2" t="inlineStr">
        <is>
          <t>Windborne Swiftsurfer</t>
        </is>
      </c>
      <c r="C227" s="2" t="inlineStr">
        <is>
          <t>DAEL</t>
        </is>
      </c>
      <c r="D227" s="2" t="inlineStr">
        <is>
          <t>057</t>
        </is>
      </c>
      <c r="E227" s="2" t="inlineStr">
        <is>
          <t>Dawn of the Elements</t>
        </is>
      </c>
      <c r="F227" s="2" t="inlineStr">
        <is>
          <t>Monster</t>
        </is>
      </c>
      <c r="G227" s="2" t="inlineStr">
        <is>
          <t>Spellcaster / Tuner / Effect</t>
        </is>
      </c>
      <c r="H227" s="2" t="inlineStr">
        <is>
          <t>Windborne</t>
        </is>
      </c>
      <c r="I227" s="2" t="inlineStr">
        <is>
          <t>2025-07-22</t>
        </is>
      </c>
      <c r="J227" s="2" t="inlineStr">
        <is>
          <t>/assets/cards/Windborne_Swiftsurfer.jpeg</t>
        </is>
      </c>
      <c r="K227" s="2" t="inlineStr">
        <is>
          <t>No</t>
        </is>
      </c>
      <c r="L227" s="2" t="inlineStr">
        <is>
          <t>No</t>
        </is>
      </c>
      <c r="M227" s="2" t="inlineStr">
        <is>
          <t>No</t>
        </is>
      </c>
      <c r="N227" s="2">
        <f>IF(AND($K227="Yes",$L227="Yes",$M227="Yes"),"Yes","No")</f>
        <v/>
      </c>
      <c r="O227" s="2" t="inlineStr"/>
    </row>
    <row r="228">
      <c r="A228" s="2" t="inlineStr">
        <is>
          <t>CARD-0X227</t>
        </is>
      </c>
      <c r="B228" s="2" t="inlineStr">
        <is>
          <t>Light Within the Crying Chaos</t>
        </is>
      </c>
      <c r="C228" s="2" t="inlineStr"/>
      <c r="D228" s="2" t="inlineStr"/>
      <c r="E228" s="2" t="inlineStr">
        <is>
          <t>DAEL-0XX Dawn of the Elements</t>
        </is>
      </c>
      <c r="F228" s="2" t="inlineStr">
        <is>
          <t>Spell</t>
        </is>
      </c>
      <c r="G228" s="2" t="inlineStr">
        <is>
          <t>Spell / Normal</t>
        </is>
      </c>
      <c r="H228" s="2" t="inlineStr">
        <is>
          <t>Crying Chaos</t>
        </is>
      </c>
      <c r="I228" s="2" t="inlineStr">
        <is>
          <t>2025-07-22</t>
        </is>
      </c>
      <c r="J228" s="2" t="inlineStr">
        <is>
          <t>/assets/cards/Light_Within_the_Crying_Chaos.jpeg</t>
        </is>
      </c>
      <c r="K228" s="2" t="inlineStr">
        <is>
          <t>No</t>
        </is>
      </c>
      <c r="L228" s="2" t="inlineStr">
        <is>
          <t>No</t>
        </is>
      </c>
      <c r="M228" s="2" t="inlineStr">
        <is>
          <t>No</t>
        </is>
      </c>
      <c r="N228" s="2">
        <f>IF(AND($K228="Yes",$L228="Yes",$M228="Yes"),"Yes","No")</f>
        <v/>
      </c>
      <c r="O228" s="2" t="inlineStr"/>
    </row>
    <row r="229">
      <c r="A229" s="2" t="inlineStr">
        <is>
          <t>CARD-00228</t>
        </is>
      </c>
      <c r="B229" s="2" t="inlineStr">
        <is>
          <t>Windborne Cloudwing</t>
        </is>
      </c>
      <c r="C229" s="2" t="inlineStr">
        <is>
          <t>DAEL</t>
        </is>
      </c>
      <c r="D229" s="2" t="inlineStr">
        <is>
          <t>058</t>
        </is>
      </c>
      <c r="E229" s="2" t="inlineStr">
        <is>
          <t>Dawn of the Elements</t>
        </is>
      </c>
      <c r="F229" s="2" t="inlineStr">
        <is>
          <t>Monster</t>
        </is>
      </c>
      <c r="G229" s="2" t="inlineStr">
        <is>
          <t>Spellcaster / Tuner / Effect</t>
        </is>
      </c>
      <c r="H229" s="2" t="inlineStr">
        <is>
          <t>Windborne</t>
        </is>
      </c>
      <c r="I229" s="2" t="inlineStr">
        <is>
          <t>2025-07-22</t>
        </is>
      </c>
      <c r="J229" s="2" t="inlineStr">
        <is>
          <t>/assets/cards/Windborne_Cloudwing.jpeg</t>
        </is>
      </c>
      <c r="K229" s="2" t="inlineStr">
        <is>
          <t>No</t>
        </is>
      </c>
      <c r="L229" s="2" t="inlineStr">
        <is>
          <t>No</t>
        </is>
      </c>
      <c r="M229" s="2" t="inlineStr">
        <is>
          <t>No</t>
        </is>
      </c>
      <c r="N229" s="2">
        <f>IF(AND($K229="Yes",$L229="Yes",$M229="Yes"),"Yes","No")</f>
        <v/>
      </c>
      <c r="O229" s="2" t="inlineStr"/>
    </row>
    <row r="230">
      <c r="A230" s="2" t="inlineStr">
        <is>
          <t>CARD-0X228</t>
        </is>
      </c>
      <c r="B230" s="2" t="inlineStr">
        <is>
          <t>A Throne of Crying Chaos</t>
        </is>
      </c>
      <c r="C230" s="2" t="inlineStr"/>
      <c r="D230" s="2" t="inlineStr"/>
      <c r="E230" s="2" t="inlineStr">
        <is>
          <t>DAEL-0XX Dawn of the Elements</t>
        </is>
      </c>
      <c r="F230" s="2" t="inlineStr">
        <is>
          <t>Spell</t>
        </is>
      </c>
      <c r="G230" s="2" t="inlineStr">
        <is>
          <t>Spell / Normal</t>
        </is>
      </c>
      <c r="H230" s="2" t="inlineStr">
        <is>
          <t>Crying Chaos</t>
        </is>
      </c>
      <c r="I230" s="2" t="inlineStr">
        <is>
          <t>2025-07-22</t>
        </is>
      </c>
      <c r="J230" s="2" t="inlineStr">
        <is>
          <t>/assets/cards/A_Throne_of_Crying_Chaos.jpeg</t>
        </is>
      </c>
      <c r="K230" s="2" t="inlineStr">
        <is>
          <t>No</t>
        </is>
      </c>
      <c r="L230" s="2" t="inlineStr">
        <is>
          <t>No</t>
        </is>
      </c>
      <c r="M230" s="2" t="inlineStr">
        <is>
          <t>No</t>
        </is>
      </c>
      <c r="N230" s="2">
        <f>IF(AND($K230="Yes",$L230="Yes",$M230="Yes"),"Yes","No")</f>
        <v/>
      </c>
      <c r="O230" s="2" t="inlineStr"/>
    </row>
    <row r="231">
      <c r="A231" s="2" t="inlineStr">
        <is>
          <t>CARD-00229</t>
        </is>
      </c>
      <c r="B231" s="2" t="inlineStr">
        <is>
          <t>A World of Crying Chaos</t>
        </is>
      </c>
      <c r="C231" s="2" t="inlineStr"/>
      <c r="D231" s="2" t="inlineStr"/>
      <c r="E231" s="2" t="inlineStr">
        <is>
          <t>DAEL-XXX Dawn of the Elements</t>
        </is>
      </c>
      <c r="F231" s="2" t="inlineStr">
        <is>
          <t>Spell</t>
        </is>
      </c>
      <c r="G231" s="2" t="inlineStr">
        <is>
          <t>Spell / Field</t>
        </is>
      </c>
      <c r="H231" s="2" t="inlineStr">
        <is>
          <t>Crying Chaos</t>
        </is>
      </c>
      <c r="I231" s="2" t="inlineStr">
        <is>
          <t>2025-07-22</t>
        </is>
      </c>
      <c r="J231" s="2" t="inlineStr">
        <is>
          <t>/assets/cards/A_World_of_Crying_Chaos.jpeg</t>
        </is>
      </c>
      <c r="K231" s="2" t="inlineStr">
        <is>
          <t>No</t>
        </is>
      </c>
      <c r="L231" s="2" t="inlineStr">
        <is>
          <t>No</t>
        </is>
      </c>
      <c r="M231" s="2" t="inlineStr">
        <is>
          <t>No</t>
        </is>
      </c>
      <c r="N231" s="2">
        <f>IF(AND($K231="Yes",$L231="Yes",$M231="Yes"),"Yes","No")</f>
        <v/>
      </c>
      <c r="O231" s="2" t="inlineStr"/>
    </row>
    <row r="232">
      <c r="A232" s="2" t="inlineStr">
        <is>
          <t>CARD-0X229</t>
        </is>
      </c>
      <c r="B232" s="2" t="inlineStr">
        <is>
          <t>Windborne Cartographer</t>
        </is>
      </c>
      <c r="C232" s="2" t="inlineStr">
        <is>
          <t>DAEL</t>
        </is>
      </c>
      <c r="D232" s="2" t="inlineStr">
        <is>
          <t>059</t>
        </is>
      </c>
      <c r="E232" s="2" t="inlineStr">
        <is>
          <t>Dawn of the Elements</t>
        </is>
      </c>
      <c r="F232" s="2" t="inlineStr">
        <is>
          <t>Monster</t>
        </is>
      </c>
      <c r="G232" s="2" t="inlineStr">
        <is>
          <t>Spellcaster / Tuner / Effect</t>
        </is>
      </c>
      <c r="H232" s="2" t="inlineStr">
        <is>
          <t>Windborne</t>
        </is>
      </c>
      <c r="I232" s="2" t="inlineStr">
        <is>
          <t>2025-07-22</t>
        </is>
      </c>
      <c r="J232" s="2" t="inlineStr">
        <is>
          <t>/assets/cards/Windborne_Cartographer.jpeg</t>
        </is>
      </c>
      <c r="K232" s="2" t="inlineStr">
        <is>
          <t>No</t>
        </is>
      </c>
      <c r="L232" s="2" t="inlineStr">
        <is>
          <t>No</t>
        </is>
      </c>
      <c r="M232" s="2" t="inlineStr">
        <is>
          <t>No</t>
        </is>
      </c>
      <c r="N232" s="2">
        <f>IF(AND($K232="Yes",$L232="Yes",$M232="Yes"),"Yes","No")</f>
        <v/>
      </c>
      <c r="O232" s="2" t="inlineStr"/>
    </row>
    <row r="233">
      <c r="A233" s="2" t="inlineStr">
        <is>
          <t>CARD-0X230</t>
        </is>
      </c>
      <c r="B233" s="2" t="inlineStr">
        <is>
          <t>A Whisper of Crying Chaos</t>
        </is>
      </c>
      <c r="C233" s="2" t="inlineStr"/>
      <c r="D233" s="2" t="inlineStr"/>
      <c r="E233" s="2" t="inlineStr">
        <is>
          <t>DAEL-XXX Dawn of the Elements</t>
        </is>
      </c>
      <c r="F233" s="2" t="inlineStr">
        <is>
          <t>Trap</t>
        </is>
      </c>
      <c r="G233" s="2" t="inlineStr">
        <is>
          <t>Trap / Normal</t>
        </is>
      </c>
      <c r="H233" s="2" t="inlineStr">
        <is>
          <t>Crying Chaos</t>
        </is>
      </c>
      <c r="I233" s="2" t="inlineStr">
        <is>
          <t>2025-07-22</t>
        </is>
      </c>
      <c r="J233" s="2" t="inlineStr">
        <is>
          <t>/assets/cards/A_Whisper_of_Crying_Chaos.jpeg</t>
        </is>
      </c>
      <c r="K233" s="2" t="inlineStr">
        <is>
          <t>No</t>
        </is>
      </c>
      <c r="L233" s="2" t="inlineStr">
        <is>
          <t>No</t>
        </is>
      </c>
      <c r="M233" s="2" t="inlineStr">
        <is>
          <t>No</t>
        </is>
      </c>
      <c r="N233" s="2">
        <f>IF(AND($K233="Yes",$L233="Yes",$M233="Yes"),"Yes","No")</f>
        <v/>
      </c>
      <c r="O233" s="2" t="inlineStr"/>
    </row>
    <row r="234">
      <c r="A234" s="2" t="inlineStr">
        <is>
          <t>CARD-00230</t>
        </is>
      </c>
      <c r="B234" s="2" t="inlineStr">
        <is>
          <t>Janna, Windborne Goddess of the Temple</t>
        </is>
      </c>
      <c r="C234" s="2" t="inlineStr">
        <is>
          <t>DAEL</t>
        </is>
      </c>
      <c r="D234" s="2" t="inlineStr">
        <is>
          <t>060</t>
        </is>
      </c>
      <c r="E234" s="2" t="inlineStr">
        <is>
          <t>Dawn of the Elements</t>
        </is>
      </c>
      <c r="F234" s="2" t="inlineStr">
        <is>
          <t>Monster</t>
        </is>
      </c>
      <c r="G234" s="2" t="inlineStr">
        <is>
          <t>Spellcaster / Effect</t>
        </is>
      </c>
      <c r="H234" s="2" t="inlineStr">
        <is>
          <t>Windborne</t>
        </is>
      </c>
      <c r="I234" s="2" t="inlineStr">
        <is>
          <t>2025-07-22</t>
        </is>
      </c>
      <c r="J234" s="2" t="inlineStr">
        <is>
          <t>/assets/cards/Janna_Windborne_Goddess_of_the_Temple.jpeg</t>
        </is>
      </c>
      <c r="K234" s="2" t="inlineStr">
        <is>
          <t>No</t>
        </is>
      </c>
      <c r="L234" s="2" t="inlineStr">
        <is>
          <t>No</t>
        </is>
      </c>
      <c r="M234" s="2" t="inlineStr">
        <is>
          <t>No</t>
        </is>
      </c>
      <c r="N234" s="2">
        <f>IF(AND($K234="Yes",$L234="Yes",$M234="Yes"),"Yes","No")</f>
        <v/>
      </c>
      <c r="O234" s="2" t="inlineStr"/>
    </row>
    <row r="235">
      <c r="A235" s="2" t="inlineStr">
        <is>
          <t>CARD-00231</t>
        </is>
      </c>
      <c r="B235" s="2" t="inlineStr">
        <is>
          <t>Maryam, Windborne Caretaker of the Temple</t>
        </is>
      </c>
      <c r="C235" s="2" t="inlineStr">
        <is>
          <t>DAEL</t>
        </is>
      </c>
      <c r="D235" s="2" t="inlineStr">
        <is>
          <t>061</t>
        </is>
      </c>
      <c r="E235" s="2" t="inlineStr">
        <is>
          <t>Dawn of the Elements</t>
        </is>
      </c>
      <c r="F235" s="2" t="inlineStr">
        <is>
          <t>Monster</t>
        </is>
      </c>
      <c r="G235" s="2" t="inlineStr">
        <is>
          <t>Spellcaster / Effect</t>
        </is>
      </c>
      <c r="H235" s="2" t="inlineStr">
        <is>
          <t>Windborne</t>
        </is>
      </c>
      <c r="I235" s="2" t="inlineStr">
        <is>
          <t>2025-07-22</t>
        </is>
      </c>
      <c r="J235" s="2" t="inlineStr">
        <is>
          <t>/assets/cards/Maryam_Windborne_Caretaker_of_the_Temple.jpeg</t>
        </is>
      </c>
      <c r="K235" s="2" t="inlineStr">
        <is>
          <t>No</t>
        </is>
      </c>
      <c r="L235" s="2" t="inlineStr">
        <is>
          <t>No</t>
        </is>
      </c>
      <c r="M235" s="2" t="inlineStr">
        <is>
          <t>No</t>
        </is>
      </c>
      <c r="N235" s="2">
        <f>IF(AND($K235="Yes",$L235="Yes",$M235="Yes"),"Yes","No")</f>
        <v/>
      </c>
      <c r="O235" s="2" t="inlineStr"/>
    </row>
    <row r="236">
      <c r="A236" s="2" t="inlineStr">
        <is>
          <t>CARD-00232</t>
        </is>
      </c>
      <c r="B236" s="2" t="inlineStr">
        <is>
          <t>Sunken Temple of the Windborne</t>
        </is>
      </c>
      <c r="C236" s="2" t="inlineStr">
        <is>
          <t>DAEL</t>
        </is>
      </c>
      <c r="D236" s="2" t="inlineStr">
        <is>
          <t>062</t>
        </is>
      </c>
      <c r="E236" s="2" t="inlineStr">
        <is>
          <t>Dawn of the Elements</t>
        </is>
      </c>
      <c r="F236" s="2" t="inlineStr">
        <is>
          <t>Spell</t>
        </is>
      </c>
      <c r="G236" s="2" t="inlineStr">
        <is>
          <t>Spell / Equip</t>
        </is>
      </c>
      <c r="H236" s="2" t="inlineStr">
        <is>
          <t>Windborne</t>
        </is>
      </c>
      <c r="I236" s="2" t="inlineStr">
        <is>
          <t>2025-07-22</t>
        </is>
      </c>
      <c r="J236" s="2" t="inlineStr">
        <is>
          <t>/assets/cards/Sunken_Temple_of_the_Windborne.jpeg</t>
        </is>
      </c>
      <c r="K236" s="2" t="inlineStr">
        <is>
          <t>No</t>
        </is>
      </c>
      <c r="L236" s="2" t="inlineStr">
        <is>
          <t>No</t>
        </is>
      </c>
      <c r="M236" s="2" t="inlineStr">
        <is>
          <t>No</t>
        </is>
      </c>
      <c r="N236" s="2">
        <f>IF(AND($K236="Yes",$L236="Yes",$M236="Yes"),"Yes","No")</f>
        <v/>
      </c>
      <c r="O236" s="2" t="inlineStr"/>
    </row>
    <row r="237">
      <c r="A237" s="2" t="inlineStr">
        <is>
          <t>CARD-00233</t>
        </is>
      </c>
      <c r="B237" s="2" t="inlineStr">
        <is>
          <t>Windborne Howling Gale</t>
        </is>
      </c>
      <c r="C237" s="2" t="inlineStr">
        <is>
          <t>DAEL</t>
        </is>
      </c>
      <c r="D237" s="2" t="inlineStr">
        <is>
          <t>063</t>
        </is>
      </c>
      <c r="E237" s="2" t="inlineStr">
        <is>
          <t>Dawn of the Elements</t>
        </is>
      </c>
      <c r="F237" s="2" t="inlineStr">
        <is>
          <t>Spell</t>
        </is>
      </c>
      <c r="G237" s="2" t="inlineStr">
        <is>
          <t>Spell / Quick-Play</t>
        </is>
      </c>
      <c r="H237" s="2" t="inlineStr">
        <is>
          <t>Windborne</t>
        </is>
      </c>
      <c r="I237" s="2" t="inlineStr">
        <is>
          <t>2025-07-22</t>
        </is>
      </c>
      <c r="J237" s="2" t="inlineStr">
        <is>
          <t>/assets/cards/Windborne_Howling_Gale.jpeg</t>
        </is>
      </c>
      <c r="K237" s="2" t="inlineStr">
        <is>
          <t>No</t>
        </is>
      </c>
      <c r="L237" s="2" t="inlineStr">
        <is>
          <t>No</t>
        </is>
      </c>
      <c r="M237" s="2" t="inlineStr">
        <is>
          <t>No</t>
        </is>
      </c>
      <c r="N237" s="2">
        <f>IF(AND($K237="Yes",$L237="Yes",$M237="Yes"),"Yes","No")</f>
        <v/>
      </c>
      <c r="O237" s="2" t="inlineStr"/>
    </row>
    <row r="238">
      <c r="A238" s="2" t="inlineStr">
        <is>
          <t>CARD-00234</t>
        </is>
      </c>
      <c r="B238" s="2" t="inlineStr">
        <is>
          <t>Windborne Eye of the Storm</t>
        </is>
      </c>
      <c r="C238" s="2" t="inlineStr">
        <is>
          <t>DAEL</t>
        </is>
      </c>
      <c r="D238" s="2" t="inlineStr">
        <is>
          <t>064</t>
        </is>
      </c>
      <c r="E238" s="2" t="inlineStr">
        <is>
          <t>Dawn of the Elements</t>
        </is>
      </c>
      <c r="F238" s="2" t="inlineStr">
        <is>
          <t>Spell</t>
        </is>
      </c>
      <c r="G238" s="2" t="inlineStr">
        <is>
          <t>Spell / Quick-Play</t>
        </is>
      </c>
      <c r="H238" s="2" t="inlineStr">
        <is>
          <t>Windborne</t>
        </is>
      </c>
      <c r="I238" s="2" t="inlineStr">
        <is>
          <t>2025-07-22</t>
        </is>
      </c>
      <c r="J238" s="2" t="inlineStr">
        <is>
          <t>/assets/cards/Windborne_Eye_of_the_Storm.jpeg</t>
        </is>
      </c>
      <c r="K238" s="2" t="inlineStr">
        <is>
          <t>No</t>
        </is>
      </c>
      <c r="L238" s="2" t="inlineStr">
        <is>
          <t>No</t>
        </is>
      </c>
      <c r="M238" s="2" t="inlineStr">
        <is>
          <t>No</t>
        </is>
      </c>
      <c r="N238" s="2">
        <f>IF(AND($K238="Yes",$L238="Yes",$M238="Yes"),"Yes","No")</f>
        <v/>
      </c>
      <c r="O238" s="2" t="inlineStr"/>
    </row>
    <row r="239">
      <c r="A239" s="2" t="inlineStr">
        <is>
          <t>CARD-00235</t>
        </is>
      </c>
      <c r="B239" s="2" t="inlineStr">
        <is>
          <t>Windborne Galesong Flock</t>
        </is>
      </c>
      <c r="C239" s="2" t="inlineStr">
        <is>
          <t>DAEL</t>
        </is>
      </c>
      <c r="D239" s="2" t="inlineStr">
        <is>
          <t>065</t>
        </is>
      </c>
      <c r="E239" s="2" t="inlineStr">
        <is>
          <t>Dawn of the Elements</t>
        </is>
      </c>
      <c r="F239" s="2" t="inlineStr">
        <is>
          <t>Spell</t>
        </is>
      </c>
      <c r="G239" s="2" t="inlineStr">
        <is>
          <t>Spell / Quick-Play</t>
        </is>
      </c>
      <c r="H239" s="2" t="inlineStr">
        <is>
          <t>Windborne</t>
        </is>
      </c>
      <c r="I239" s="2" t="inlineStr">
        <is>
          <t>2025-07-22</t>
        </is>
      </c>
      <c r="J239" s="2" t="inlineStr">
        <is>
          <t>/assets/cards/Windborne_Galesong_Flock.jpeg</t>
        </is>
      </c>
      <c r="K239" s="2" t="inlineStr">
        <is>
          <t>No</t>
        </is>
      </c>
      <c r="L239" s="2" t="inlineStr">
        <is>
          <t>No</t>
        </is>
      </c>
      <c r="M239" s="2" t="inlineStr">
        <is>
          <t>No</t>
        </is>
      </c>
      <c r="N239" s="2">
        <f>IF(AND($K239="Yes",$L239="Yes",$M239="Yes"),"Yes","No")</f>
        <v/>
      </c>
      <c r="O239" s="2" t="inlineStr"/>
    </row>
    <row r="240">
      <c r="A240" s="2" t="inlineStr">
        <is>
          <t>CARD-00236</t>
        </is>
      </c>
      <c r="B240" s="2" t="inlineStr">
        <is>
          <t>Windborne Divine Whirlwind</t>
        </is>
      </c>
      <c r="C240" s="2" t="inlineStr">
        <is>
          <t>DAEL</t>
        </is>
      </c>
      <c r="D240" s="2" t="inlineStr">
        <is>
          <t>066</t>
        </is>
      </c>
      <c r="E240" s="2" t="inlineStr">
        <is>
          <t>Dawn of the Elements</t>
        </is>
      </c>
      <c r="F240" s="2" t="inlineStr">
        <is>
          <t>Spell</t>
        </is>
      </c>
      <c r="G240" s="2" t="inlineStr">
        <is>
          <t>Spell / Quick-Play</t>
        </is>
      </c>
      <c r="H240" s="2" t="inlineStr">
        <is>
          <t>Windborne</t>
        </is>
      </c>
      <c r="I240" s="2" t="inlineStr">
        <is>
          <t>2025-07-22</t>
        </is>
      </c>
      <c r="J240" s="2" t="inlineStr">
        <is>
          <t>/assets/cards/Windborne_Divine_Whirlwind.jpeg</t>
        </is>
      </c>
      <c r="K240" s="2" t="inlineStr">
        <is>
          <t>No</t>
        </is>
      </c>
      <c r="L240" s="2" t="inlineStr">
        <is>
          <t>No</t>
        </is>
      </c>
      <c r="M240" s="2" t="inlineStr">
        <is>
          <t>No</t>
        </is>
      </c>
      <c r="N240" s="2">
        <f>IF(AND($K240="Yes",$L240="Yes",$M240="Yes"),"Yes","No")</f>
        <v/>
      </c>
      <c r="O240" s="2" t="inlineStr"/>
    </row>
    <row r="241">
      <c r="A241" s="2" t="inlineStr">
        <is>
          <t>CARD-00237</t>
        </is>
      </c>
      <c r="B241" s="2" t="inlineStr">
        <is>
          <t>Muntith, Windborne Skydragon of the Shining Sun</t>
        </is>
      </c>
      <c r="C241" s="2" t="inlineStr">
        <is>
          <t>DAEL</t>
        </is>
      </c>
      <c r="D241" s="2" t="inlineStr">
        <is>
          <t>067</t>
        </is>
      </c>
      <c r="E241" s="2" t="inlineStr">
        <is>
          <t>Dawn of the Elements</t>
        </is>
      </c>
      <c r="F241" s="2" t="inlineStr">
        <is>
          <t>Monster</t>
        </is>
      </c>
      <c r="G241" s="2" t="inlineStr">
        <is>
          <t>Dragon / Synchro / Effect</t>
        </is>
      </c>
      <c r="H241" s="2" t="inlineStr">
        <is>
          <t>Windborne</t>
        </is>
      </c>
      <c r="I241" s="2" t="inlineStr">
        <is>
          <t>2025-07-22</t>
        </is>
      </c>
      <c r="J241" s="2" t="inlineStr">
        <is>
          <t>/assets/cards/Muntith_Windborne_Skydragon_of_the_Shining_Sun.jpeg</t>
        </is>
      </c>
      <c r="K241" s="2" t="inlineStr">
        <is>
          <t>No</t>
        </is>
      </c>
      <c r="L241" s="2" t="inlineStr">
        <is>
          <t>No</t>
        </is>
      </c>
      <c r="M241" s="2" t="inlineStr">
        <is>
          <t>No</t>
        </is>
      </c>
      <c r="N241" s="2">
        <f>IF(AND($K241="Yes",$L241="Yes",$M241="Yes"),"Yes","No")</f>
        <v/>
      </c>
      <c r="O241" s="2" t="inlineStr"/>
    </row>
    <row r="242">
      <c r="A242" s="2" t="inlineStr">
        <is>
          <t>CARD-00238</t>
        </is>
      </c>
      <c r="B242" s="2" t="inlineStr">
        <is>
          <t>Janna, Windborne Goddess of Clement Winds</t>
        </is>
      </c>
      <c r="C242" s="2" t="inlineStr">
        <is>
          <t>DAEL</t>
        </is>
      </c>
      <c r="D242" s="2" t="inlineStr">
        <is>
          <t>068</t>
        </is>
      </c>
      <c r="E242" s="2" t="inlineStr">
        <is>
          <t>Dawn of the Elements</t>
        </is>
      </c>
      <c r="F242" s="2" t="inlineStr">
        <is>
          <t>Monster</t>
        </is>
      </c>
      <c r="G242" s="2" t="inlineStr">
        <is>
          <t>Spellcaster / Synchro / Effect</t>
        </is>
      </c>
      <c r="H242" s="2" t="inlineStr">
        <is>
          <t>Windborne</t>
        </is>
      </c>
      <c r="I242" s="2" t="inlineStr">
        <is>
          <t>2025-07-22</t>
        </is>
      </c>
      <c r="J242" s="2" t="inlineStr">
        <is>
          <t>/assets/cards/Janna_Windborne_Goddess_of_Clement_Winds.jpeg</t>
        </is>
      </c>
      <c r="K242" s="2" t="inlineStr">
        <is>
          <t>No</t>
        </is>
      </c>
      <c r="L242" s="2" t="inlineStr">
        <is>
          <t>No</t>
        </is>
      </c>
      <c r="M242" s="2" t="inlineStr">
        <is>
          <t>No</t>
        </is>
      </c>
      <c r="N242" s="2">
        <f>IF(AND($K242="Yes",$L242="Yes",$M242="Yes"),"Yes","No")</f>
        <v/>
      </c>
      <c r="O242" s="2" t="inlineStr"/>
    </row>
    <row r="243">
      <c r="A243" s="2" t="inlineStr">
        <is>
          <t>CARD-0X238</t>
        </is>
      </c>
      <c r="B243" s="2" t="inlineStr">
        <is>
          <t>Pot of Gambling</t>
        </is>
      </c>
      <c r="C243" s="2" t="inlineStr"/>
      <c r="D243" s="2" t="inlineStr"/>
      <c r="E243" s="2" t="inlineStr">
        <is>
          <t>DAEL-0XX Dawn of the Elements</t>
        </is>
      </c>
      <c r="F243" s="2" t="inlineStr">
        <is>
          <t>Spell</t>
        </is>
      </c>
      <c r="G243" s="2" t="inlineStr">
        <is>
          <t>Spell / Normal</t>
        </is>
      </c>
      <c r="H243" s="2" t="inlineStr">
        <is>
          <t>Pot</t>
        </is>
      </c>
      <c r="I243" s="2" t="inlineStr">
        <is>
          <t>2025-07-22</t>
        </is>
      </c>
      <c r="J243" s="2" t="inlineStr">
        <is>
          <t>/assets/cards/Pot_of_Gambling.jpeg</t>
        </is>
      </c>
      <c r="K243" s="2" t="inlineStr">
        <is>
          <t>No</t>
        </is>
      </c>
      <c r="L243" s="2" t="inlineStr">
        <is>
          <t>No</t>
        </is>
      </c>
      <c r="M243" s="2" t="inlineStr">
        <is>
          <t>No</t>
        </is>
      </c>
      <c r="N243" s="2">
        <f>IF(AND($K243="Yes",$L243="Yes",$M243="Yes"),"Yes","No")</f>
        <v/>
      </c>
      <c r="O243" s="2" t="inlineStr"/>
    </row>
    <row r="244">
      <c r="A244" s="2" t="inlineStr">
        <is>
          <t>CARD-00239</t>
        </is>
      </c>
      <c r="B244" s="2" t="inlineStr">
        <is>
          <t>Iscylla, Windborne Kraken of Sunken Depths</t>
        </is>
      </c>
      <c r="C244" s="2" t="inlineStr">
        <is>
          <t>DAEL</t>
        </is>
      </c>
      <c r="D244" s="2" t="inlineStr">
        <is>
          <t>069</t>
        </is>
      </c>
      <c r="E244" s="2" t="inlineStr">
        <is>
          <t>Dawn of the Elements</t>
        </is>
      </c>
      <c r="F244" s="2" t="inlineStr">
        <is>
          <t>Monster</t>
        </is>
      </c>
      <c r="G244" s="2" t="inlineStr">
        <is>
          <t>Aqua / Synchro / Effect</t>
        </is>
      </c>
      <c r="H244" s="2" t="inlineStr">
        <is>
          <t>Windborne</t>
        </is>
      </c>
      <c r="I244" s="2" t="inlineStr">
        <is>
          <t>2025-07-22</t>
        </is>
      </c>
      <c r="J244" s="2" t="inlineStr">
        <is>
          <t>/assets/cards/Iscylla_Windborne_Kraken_of_Sunken_Depths.jpeg</t>
        </is>
      </c>
      <c r="K244" s="2" t="inlineStr">
        <is>
          <t>No</t>
        </is>
      </c>
      <c r="L244" s="2" t="inlineStr">
        <is>
          <t>No</t>
        </is>
      </c>
      <c r="M244" s="2" t="inlineStr">
        <is>
          <t>No</t>
        </is>
      </c>
      <c r="N244" s="2">
        <f>IF(AND($K244="Yes",$L244="Yes",$M244="Yes"),"Yes","No")</f>
        <v/>
      </c>
      <c r="O244" s="2" t="inlineStr"/>
    </row>
    <row r="245">
      <c r="A245" s="2" t="inlineStr">
        <is>
          <t>CARD-0X239</t>
        </is>
      </c>
      <c r="B245" s="2" t="inlineStr">
        <is>
          <t>Pot of Fortune</t>
        </is>
      </c>
      <c r="C245" s="2" t="inlineStr"/>
      <c r="D245" s="2" t="inlineStr"/>
      <c r="E245" s="2" t="inlineStr">
        <is>
          <t>DAEL-0XX Dawn of the Elements</t>
        </is>
      </c>
      <c r="F245" s="2" t="inlineStr">
        <is>
          <t>Spell</t>
        </is>
      </c>
      <c r="G245" s="2" t="inlineStr">
        <is>
          <t>Spell / Normal</t>
        </is>
      </c>
      <c r="H245" s="2" t="inlineStr">
        <is>
          <t>Pot</t>
        </is>
      </c>
      <c r="I245" s="2" t="inlineStr">
        <is>
          <t>2025-07-22</t>
        </is>
      </c>
      <c r="J245" s="2" t="inlineStr">
        <is>
          <t>/assets/cards/Pot_of_Fortune.jpeg</t>
        </is>
      </c>
      <c r="K245" s="2" t="inlineStr">
        <is>
          <t>No</t>
        </is>
      </c>
      <c r="L245" s="2" t="inlineStr">
        <is>
          <t>No</t>
        </is>
      </c>
      <c r="M245" s="2" t="inlineStr">
        <is>
          <t>No</t>
        </is>
      </c>
      <c r="N245" s="2">
        <f>IF(AND($K245="Yes",$L245="Yes",$M245="Yes"),"Yes","No")</f>
        <v/>
      </c>
      <c r="O245" s="2" t="inlineStr"/>
    </row>
    <row r="246">
      <c r="A246" s="2" t="inlineStr">
        <is>
          <t>CARD-00240</t>
        </is>
      </c>
      <c r="B246" s="2" t="inlineStr">
        <is>
          <t>Shining Brigade - Hope Division</t>
        </is>
      </c>
      <c r="C246" s="2" t="inlineStr">
        <is>
          <t>DAEL</t>
        </is>
      </c>
      <c r="D246" s="2" t="inlineStr">
        <is>
          <t>070</t>
        </is>
      </c>
      <c r="E246" s="2" t="inlineStr">
        <is>
          <t>Dawn of the Elements</t>
        </is>
      </c>
      <c r="F246" s="2" t="inlineStr">
        <is>
          <t>Monster</t>
        </is>
      </c>
      <c r="G246" s="2" t="inlineStr">
        <is>
          <t>Fairy / Effect</t>
        </is>
      </c>
      <c r="H246" s="2" t="inlineStr">
        <is>
          <t>Shining Brigade</t>
        </is>
      </c>
      <c r="I246" s="2" t="inlineStr">
        <is>
          <t>2025-07-22</t>
        </is>
      </c>
      <c r="J246" s="2" t="inlineStr">
        <is>
          <t>/assets/cards/Shining_Brigade_-_Hope_Division.jpeg</t>
        </is>
      </c>
      <c r="K246" s="2" t="inlineStr">
        <is>
          <t>No</t>
        </is>
      </c>
      <c r="L246" s="2" t="inlineStr">
        <is>
          <t>No</t>
        </is>
      </c>
      <c r="M246" s="2" t="inlineStr">
        <is>
          <t>No</t>
        </is>
      </c>
      <c r="N246" s="2">
        <f>IF(AND($K246="Yes",$L246="Yes",$M246="Yes"),"Yes","No")</f>
        <v/>
      </c>
      <c r="O246" s="2" t="inlineStr"/>
    </row>
    <row r="247">
      <c r="A247" s="2" t="inlineStr">
        <is>
          <t>CARD-00241</t>
        </is>
      </c>
      <c r="B247" s="2" t="inlineStr">
        <is>
          <t>Shining Brigade - Forward Division</t>
        </is>
      </c>
      <c r="C247" s="2" t="inlineStr">
        <is>
          <t>DAEL</t>
        </is>
      </c>
      <c r="D247" s="2" t="inlineStr">
        <is>
          <t>071</t>
        </is>
      </c>
      <c r="E247" s="2" t="inlineStr">
        <is>
          <t>Dawn of the Elements</t>
        </is>
      </c>
      <c r="F247" s="2" t="inlineStr">
        <is>
          <t>Monster</t>
        </is>
      </c>
      <c r="G247" s="2" t="inlineStr">
        <is>
          <t>Fairy / Effect</t>
        </is>
      </c>
      <c r="H247" s="2" t="inlineStr">
        <is>
          <t>Shining Brigade</t>
        </is>
      </c>
      <c r="I247" s="2" t="inlineStr">
        <is>
          <t>2025-07-22</t>
        </is>
      </c>
      <c r="J247" s="2" t="inlineStr">
        <is>
          <t>/assets/cards/Shining_Brigade_-_Forward_Division.jpeg</t>
        </is>
      </c>
      <c r="K247" s="2" t="inlineStr">
        <is>
          <t>No</t>
        </is>
      </c>
      <c r="L247" s="2" t="inlineStr">
        <is>
          <t>No</t>
        </is>
      </c>
      <c r="M247" s="2" t="inlineStr">
        <is>
          <t>No</t>
        </is>
      </c>
      <c r="N247" s="2">
        <f>IF(AND($K247="Yes",$L247="Yes",$M247="Yes"),"Yes","No")</f>
        <v/>
      </c>
      <c r="O247" s="2" t="inlineStr"/>
    </row>
    <row r="248">
      <c r="A248" s="2" t="inlineStr">
        <is>
          <t>CARD-00242</t>
        </is>
      </c>
      <c r="B248" s="2" t="inlineStr">
        <is>
          <t>Shining Brigade - Flowering Division</t>
        </is>
      </c>
      <c r="C248" s="2" t="inlineStr">
        <is>
          <t>DAEL</t>
        </is>
      </c>
      <c r="D248" s="2" t="inlineStr">
        <is>
          <t>072</t>
        </is>
      </c>
      <c r="E248" s="2" t="inlineStr">
        <is>
          <t>Dawn of the Elements</t>
        </is>
      </c>
      <c r="F248" s="2" t="inlineStr">
        <is>
          <t>Monster</t>
        </is>
      </c>
      <c r="G248" s="2" t="inlineStr">
        <is>
          <t>Fairy / Effect</t>
        </is>
      </c>
      <c r="H248" s="2" t="inlineStr">
        <is>
          <t>Shining Brigade</t>
        </is>
      </c>
      <c r="I248" s="2" t="inlineStr">
        <is>
          <t>2025-07-22</t>
        </is>
      </c>
      <c r="J248" s="2" t="inlineStr">
        <is>
          <t>/assets/cards/Shining_Brigade_-_Flowering_Division.jpeg</t>
        </is>
      </c>
      <c r="K248" s="2" t="inlineStr">
        <is>
          <t>No</t>
        </is>
      </c>
      <c r="L248" s="2" t="inlineStr">
        <is>
          <t>No</t>
        </is>
      </c>
      <c r="M248" s="2" t="inlineStr">
        <is>
          <t>No</t>
        </is>
      </c>
      <c r="N248" s="2">
        <f>IF(AND($K248="Yes",$L248="Yes",$M248="Yes"),"Yes","No")</f>
        <v/>
      </c>
      <c r="O248" s="2" t="inlineStr"/>
    </row>
    <row r="249">
      <c r="A249" s="2" t="inlineStr">
        <is>
          <t>CARD-00243</t>
        </is>
      </c>
      <c r="B249" s="2" t="inlineStr">
        <is>
          <t>Shining Brigade - Loving Division</t>
        </is>
      </c>
      <c r="C249" s="2" t="inlineStr">
        <is>
          <t>DAEL</t>
        </is>
      </c>
      <c r="D249" s="2" t="inlineStr">
        <is>
          <t>073</t>
        </is>
      </c>
      <c r="E249" s="2" t="inlineStr">
        <is>
          <t>Dawn of the Elements</t>
        </is>
      </c>
      <c r="F249" s="2" t="inlineStr">
        <is>
          <t>Monster</t>
        </is>
      </c>
      <c r="G249" s="2" t="inlineStr">
        <is>
          <t>Fairy / Effect</t>
        </is>
      </c>
      <c r="H249" s="2" t="inlineStr">
        <is>
          <t>Shining Brigade</t>
        </is>
      </c>
      <c r="I249" s="2" t="inlineStr">
        <is>
          <t>2025-07-22</t>
        </is>
      </c>
      <c r="J249" s="2" t="inlineStr">
        <is>
          <t>/assets/cards/Shining_Brigade_-_Loving_Division.jpeg</t>
        </is>
      </c>
      <c r="K249" s="2" t="inlineStr">
        <is>
          <t>No</t>
        </is>
      </c>
      <c r="L249" s="2" t="inlineStr">
        <is>
          <t>No</t>
        </is>
      </c>
      <c r="M249" s="2" t="inlineStr">
        <is>
          <t>No</t>
        </is>
      </c>
      <c r="N249" s="2">
        <f>IF(AND($K249="Yes",$L249="Yes",$M249="Yes"),"Yes","No")</f>
        <v/>
      </c>
      <c r="O249" s="2" t="inlineStr"/>
    </row>
    <row r="250">
      <c r="A250" s="2" t="inlineStr">
        <is>
          <t>CARD-00244</t>
        </is>
      </c>
      <c r="B250" s="2" t="inlineStr">
        <is>
          <t>Shining Brigade - Heartbeat Division</t>
        </is>
      </c>
      <c r="C250" s="2" t="inlineStr">
        <is>
          <t>DAEL</t>
        </is>
      </c>
      <c r="D250" s="2" t="inlineStr">
        <is>
          <t>074</t>
        </is>
      </c>
      <c r="E250" s="2" t="inlineStr">
        <is>
          <t>Dawn of the Elements</t>
        </is>
      </c>
      <c r="F250" s="2" t="inlineStr">
        <is>
          <t>Monster</t>
        </is>
      </c>
      <c r="G250" s="2" t="inlineStr">
        <is>
          <t>Fairy / Effect</t>
        </is>
      </c>
      <c r="H250" s="2" t="inlineStr">
        <is>
          <t>Shining Brigade</t>
        </is>
      </c>
      <c r="I250" s="2" t="inlineStr">
        <is>
          <t>2025-07-22</t>
        </is>
      </c>
      <c r="J250" s="2" t="inlineStr">
        <is>
          <t>/assets/cards/Shining_Brigade_-_Heartbeat_Division.jpeg</t>
        </is>
      </c>
      <c r="K250" s="2" t="inlineStr">
        <is>
          <t>No</t>
        </is>
      </c>
      <c r="L250" s="2" t="inlineStr">
        <is>
          <t>No</t>
        </is>
      </c>
      <c r="M250" s="2" t="inlineStr">
        <is>
          <t>No</t>
        </is>
      </c>
      <c r="N250" s="2">
        <f>IF(AND($K250="Yes",$L250="Yes",$M250="Yes"),"Yes","No")</f>
        <v/>
      </c>
      <c r="O250" s="2" t="inlineStr"/>
    </row>
    <row r="251">
      <c r="A251" s="2" t="inlineStr">
        <is>
          <t>CARD-00245</t>
        </is>
      </c>
      <c r="B251" s="2" t="inlineStr">
        <is>
          <t>Shining Brigade - Joyous Division</t>
        </is>
      </c>
      <c r="C251" s="2" t="inlineStr">
        <is>
          <t>DAEL</t>
        </is>
      </c>
      <c r="D251" s="2" t="inlineStr">
        <is>
          <t>075</t>
        </is>
      </c>
      <c r="E251" s="2" t="inlineStr">
        <is>
          <t>Dawn of the Elements</t>
        </is>
      </c>
      <c r="F251" s="2" t="inlineStr">
        <is>
          <t>Monster</t>
        </is>
      </c>
      <c r="G251" s="2" t="inlineStr">
        <is>
          <t>Fairy / Effect</t>
        </is>
      </c>
      <c r="H251" s="2" t="inlineStr">
        <is>
          <t>Shining Brigade</t>
        </is>
      </c>
      <c r="I251" s="2" t="inlineStr">
        <is>
          <t>2025-07-22</t>
        </is>
      </c>
      <c r="J251" s="2" t="inlineStr">
        <is>
          <t>/assets/cards/Shining_Brigade_-_Joyous_Division.jpeg</t>
        </is>
      </c>
      <c r="K251" s="2" t="inlineStr">
        <is>
          <t>No</t>
        </is>
      </c>
      <c r="L251" s="2" t="inlineStr">
        <is>
          <t>No</t>
        </is>
      </c>
      <c r="M251" s="2" t="inlineStr">
        <is>
          <t>No</t>
        </is>
      </c>
      <c r="N251" s="2">
        <f>IF(AND($K251="Yes",$L251="Yes",$M251="Yes"),"Yes","No")</f>
        <v/>
      </c>
      <c r="O251" s="2" t="inlineStr"/>
    </row>
    <row r="252">
      <c r="A252" s="2" t="inlineStr">
        <is>
          <t>CARD-00246</t>
        </is>
      </c>
      <c r="B252" s="2" t="inlineStr">
        <is>
          <t>Shining Brigade - Melody Division</t>
        </is>
      </c>
      <c r="C252" s="2" t="inlineStr">
        <is>
          <t>DAEL</t>
        </is>
      </c>
      <c r="D252" s="2" t="inlineStr">
        <is>
          <t>076</t>
        </is>
      </c>
      <c r="E252" s="2" t="inlineStr">
        <is>
          <t>Dawn of the Elements</t>
        </is>
      </c>
      <c r="F252" s="2" t="inlineStr">
        <is>
          <t>Monster</t>
        </is>
      </c>
      <c r="G252" s="2" t="inlineStr">
        <is>
          <t>Fairy / Effect</t>
        </is>
      </c>
      <c r="H252" s="2" t="inlineStr">
        <is>
          <t>Shining Brigade</t>
        </is>
      </c>
      <c r="I252" s="2" t="inlineStr">
        <is>
          <t>2025-07-22</t>
        </is>
      </c>
      <c r="J252" s="2" t="inlineStr">
        <is>
          <t>/assets/cards/Shining_Brigade_-_Melody_Division.jpeg</t>
        </is>
      </c>
      <c r="K252" s="2" t="inlineStr">
        <is>
          <t>No</t>
        </is>
      </c>
      <c r="L252" s="2" t="inlineStr">
        <is>
          <t>No</t>
        </is>
      </c>
      <c r="M252" s="2" t="inlineStr">
        <is>
          <t>No</t>
        </is>
      </c>
      <c r="N252" s="2">
        <f>IF(AND($K252="Yes",$L252="Yes",$M252="Yes"),"Yes","No")</f>
        <v/>
      </c>
      <c r="O252" s="2" t="inlineStr"/>
    </row>
    <row r="253">
      <c r="A253" s="2" t="inlineStr">
        <is>
          <t>CARD-00247</t>
        </is>
      </c>
      <c r="B253" s="2" t="inlineStr">
        <is>
          <t>Shining Brigade - Revenge Division</t>
        </is>
      </c>
      <c r="C253" s="2" t="inlineStr">
        <is>
          <t>DAEL</t>
        </is>
      </c>
      <c r="D253" s="2" t="inlineStr">
        <is>
          <t>077</t>
        </is>
      </c>
      <c r="E253" s="2" t="inlineStr">
        <is>
          <t>Dawn of the Elements</t>
        </is>
      </c>
      <c r="F253" s="2" t="inlineStr">
        <is>
          <t>Monster</t>
        </is>
      </c>
      <c r="G253" s="2" t="inlineStr">
        <is>
          <t>Fairy / Xyz / Effect</t>
        </is>
      </c>
      <c r="H253" s="2" t="inlineStr">
        <is>
          <t>Shining Brigade</t>
        </is>
      </c>
      <c r="I253" s="2" t="inlineStr">
        <is>
          <t>2025-07-22</t>
        </is>
      </c>
      <c r="J253" s="2" t="inlineStr">
        <is>
          <t>/assets/cards/Shining_Brigade_-_Revenge_Division.jpeg</t>
        </is>
      </c>
      <c r="K253" s="2" t="inlineStr">
        <is>
          <t>No</t>
        </is>
      </c>
      <c r="L253" s="2" t="inlineStr">
        <is>
          <t>No</t>
        </is>
      </c>
      <c r="M253" s="2" t="inlineStr">
        <is>
          <t>No</t>
        </is>
      </c>
      <c r="N253" s="2">
        <f>IF(AND($K253="Yes",$L253="Yes",$M253="Yes"),"Yes","No")</f>
        <v/>
      </c>
      <c r="O253" s="2" t="inlineStr"/>
    </row>
    <row r="254">
      <c r="A254" s="2" t="inlineStr">
        <is>
          <t>CARD-00248</t>
        </is>
      </c>
      <c r="B254" s="2" t="inlineStr">
        <is>
          <t>Shining Brigade Armada</t>
        </is>
      </c>
      <c r="C254" s="2" t="inlineStr">
        <is>
          <t>DAEL</t>
        </is>
      </c>
      <c r="D254" s="2" t="inlineStr">
        <is>
          <t>078</t>
        </is>
      </c>
      <c r="E254" s="2" t="inlineStr">
        <is>
          <t>Dawn of the Elements</t>
        </is>
      </c>
      <c r="F254" s="2" t="inlineStr">
        <is>
          <t>Monster</t>
        </is>
      </c>
      <c r="G254" s="2" t="inlineStr">
        <is>
          <t>Fairy / Xyz / Effect</t>
        </is>
      </c>
      <c r="H254" s="2" t="inlineStr">
        <is>
          <t>Shining Brigade</t>
        </is>
      </c>
      <c r="I254" s="2" t="inlineStr">
        <is>
          <t>2025-07-22</t>
        </is>
      </c>
      <c r="J254" s="2" t="inlineStr">
        <is>
          <t>/assets/cards/Shining_Brigade_Armada.jpeg</t>
        </is>
      </c>
      <c r="K254" s="2" t="inlineStr">
        <is>
          <t>No</t>
        </is>
      </c>
      <c r="L254" s="2" t="inlineStr">
        <is>
          <t>No</t>
        </is>
      </c>
      <c r="M254" s="2" t="inlineStr">
        <is>
          <t>No</t>
        </is>
      </c>
      <c r="N254" s="2">
        <f>IF(AND($K254="Yes",$L254="Yes",$M254="Yes"),"Yes","No")</f>
        <v/>
      </c>
      <c r="O254" s="2" t="inlineStr"/>
    </row>
    <row r="255">
      <c r="A255" s="2" t="inlineStr">
        <is>
          <t>CARD-00249</t>
        </is>
      </c>
      <c r="B255" s="2" t="inlineStr">
        <is>
          <t>Shining Brigade Origins</t>
        </is>
      </c>
      <c r="C255" s="2" t="inlineStr">
        <is>
          <t>DAEL</t>
        </is>
      </c>
      <c r="D255" s="2" t="inlineStr">
        <is>
          <t>079</t>
        </is>
      </c>
      <c r="E255" s="2" t="inlineStr">
        <is>
          <t>Dawn of the Elements</t>
        </is>
      </c>
      <c r="F255" s="2" t="inlineStr">
        <is>
          <t>Monster</t>
        </is>
      </c>
      <c r="G255" s="2" t="inlineStr">
        <is>
          <t>Fairy / Xyz / Pendulum / Effect</t>
        </is>
      </c>
      <c r="H255" s="2" t="inlineStr">
        <is>
          <t>Shining Brigade</t>
        </is>
      </c>
      <c r="I255" s="2" t="inlineStr">
        <is>
          <t>2025-07-22</t>
        </is>
      </c>
      <c r="J255" s="2" t="inlineStr">
        <is>
          <t>/assets/cards/Shining_Brigade_Origins.jpeg</t>
        </is>
      </c>
      <c r="K255" s="2" t="inlineStr">
        <is>
          <t>No</t>
        </is>
      </c>
      <c r="L255" s="2" t="inlineStr">
        <is>
          <t>No</t>
        </is>
      </c>
      <c r="M255" s="2" t="inlineStr">
        <is>
          <t>No</t>
        </is>
      </c>
      <c r="N255" s="2">
        <f>IF(AND($K255="Yes",$L255="Yes",$M255="Yes"),"Yes","No")</f>
        <v/>
      </c>
      <c r="O255" s="2" t="inlineStr"/>
    </row>
    <row r="256">
      <c r="A256" s="2" t="inlineStr">
        <is>
          <t>CARD-00250</t>
        </is>
      </c>
      <c r="B256" s="2" t="inlineStr">
        <is>
          <t>Shining Brigade - Companion Team</t>
        </is>
      </c>
      <c r="C256" s="2" t="inlineStr">
        <is>
          <t>DAEL</t>
        </is>
      </c>
      <c r="D256" s="2" t="inlineStr">
        <is>
          <t>080</t>
        </is>
      </c>
      <c r="E256" s="2" t="inlineStr">
        <is>
          <t>Dawn of the Elements</t>
        </is>
      </c>
      <c r="F256" s="2" t="inlineStr">
        <is>
          <t>Monster</t>
        </is>
      </c>
      <c r="G256" s="2" t="inlineStr">
        <is>
          <t>Fairy / Link / Effect</t>
        </is>
      </c>
      <c r="H256" s="2" t="inlineStr">
        <is>
          <t>Shining Brigade</t>
        </is>
      </c>
      <c r="I256" s="2" t="inlineStr">
        <is>
          <t>2025-07-22</t>
        </is>
      </c>
      <c r="J256" s="2" t="inlineStr">
        <is>
          <t>/assets/cards/Shining_Brigade_-_Companion_Team.jpeg</t>
        </is>
      </c>
      <c r="K256" s="2" t="inlineStr">
        <is>
          <t>No</t>
        </is>
      </c>
      <c r="L256" s="2" t="inlineStr">
        <is>
          <t>No</t>
        </is>
      </c>
      <c r="M256" s="2" t="inlineStr">
        <is>
          <t>No</t>
        </is>
      </c>
      <c r="N256" s="2">
        <f>IF(AND($K256="Yes",$L256="Yes",$M256="Yes"),"Yes","No")</f>
        <v/>
      </c>
      <c r="O256" s="2" t="inlineStr"/>
    </row>
    <row r="257">
      <c r="A257" s="2" t="inlineStr">
        <is>
          <t>CARD-00251</t>
        </is>
      </c>
      <c r="B257" s="2" t="inlineStr">
        <is>
          <t>Shining Brigade - Absolute Supremacy</t>
        </is>
      </c>
      <c r="C257" s="2" t="inlineStr">
        <is>
          <t>DAEL</t>
        </is>
      </c>
      <c r="D257" s="2" t="inlineStr">
        <is>
          <t>081</t>
        </is>
      </c>
      <c r="E257" s="2" t="inlineStr">
        <is>
          <t>Dawn of the Elements</t>
        </is>
      </c>
      <c r="F257" s="2" t="inlineStr">
        <is>
          <t>Monster</t>
        </is>
      </c>
      <c r="G257" s="2" t="inlineStr">
        <is>
          <t>Fairy / Link / Effect</t>
        </is>
      </c>
      <c r="H257" s="2" t="inlineStr">
        <is>
          <t>Shining Brigade</t>
        </is>
      </c>
      <c r="I257" s="2" t="inlineStr">
        <is>
          <t>2025-07-22</t>
        </is>
      </c>
      <c r="J257" s="2" t="inlineStr">
        <is>
          <t>/assets/cards/Shining_Brigade_-_Absolute_Supremacy.jpeg</t>
        </is>
      </c>
      <c r="K257" s="2" t="inlineStr">
        <is>
          <t>No</t>
        </is>
      </c>
      <c r="L257" s="2" t="inlineStr">
        <is>
          <t>No</t>
        </is>
      </c>
      <c r="M257" s="2" t="inlineStr">
        <is>
          <t>No</t>
        </is>
      </c>
      <c r="N257" s="2">
        <f>IF(AND($K257="Yes",$L257="Yes",$M257="Yes"),"Yes","No")</f>
        <v/>
      </c>
      <c r="O257" s="2" t="inlineStr"/>
    </row>
    <row r="258">
      <c r="A258" s="2" t="inlineStr">
        <is>
          <t>CARD-00252</t>
        </is>
      </c>
      <c r="B258" s="2" t="inlineStr">
        <is>
          <t>Let's Go, Shining Brigade!</t>
        </is>
      </c>
      <c r="C258" s="2" t="inlineStr">
        <is>
          <t>DAEL</t>
        </is>
      </c>
      <c r="D258" s="2" t="inlineStr">
        <is>
          <t>082</t>
        </is>
      </c>
      <c r="E258" s="2" t="inlineStr">
        <is>
          <t>Dawn of the Elements</t>
        </is>
      </c>
      <c r="F258" s="2" t="inlineStr">
        <is>
          <t>Spell</t>
        </is>
      </c>
      <c r="G258" s="2" t="inlineStr">
        <is>
          <t>Spell / Normal</t>
        </is>
      </c>
      <c r="H258" s="2" t="inlineStr">
        <is>
          <t>Shining Brigade</t>
        </is>
      </c>
      <c r="I258" s="2" t="inlineStr">
        <is>
          <t>2025-07-22</t>
        </is>
      </c>
      <c r="J258" s="2" t="inlineStr">
        <is>
          <t>/assets/cards/Lets_Go_Shining_Brigade.jpeg</t>
        </is>
      </c>
      <c r="K258" s="2" t="inlineStr">
        <is>
          <t>No</t>
        </is>
      </c>
      <c r="L258" s="2" t="inlineStr">
        <is>
          <t>No</t>
        </is>
      </c>
      <c r="M258" s="2" t="inlineStr">
        <is>
          <t>No</t>
        </is>
      </c>
      <c r="N258" s="2">
        <f>IF(AND($K258="Yes",$L258="Yes",$M258="Yes"),"Yes","No")</f>
        <v/>
      </c>
      <c r="O258" s="2" t="inlineStr"/>
    </row>
    <row r="259">
      <c r="A259" s="2" t="inlineStr">
        <is>
          <t>CARD-0X252</t>
        </is>
      </c>
      <c r="B259" s="2" t="inlineStr">
        <is>
          <t>The One Called Forth</t>
        </is>
      </c>
      <c r="C259" s="2" t="inlineStr"/>
      <c r="D259" s="2" t="inlineStr"/>
      <c r="E259" s="2" t="inlineStr">
        <is>
          <t>DAEL-0XX Dawn of the Elements</t>
        </is>
      </c>
      <c r="F259" s="2" t="inlineStr">
        <is>
          <t>Spell</t>
        </is>
      </c>
      <c r="G259" s="2" t="inlineStr">
        <is>
          <t>Spell / Normal</t>
        </is>
      </c>
      <c r="H259" s="2" t="inlineStr"/>
      <c r="I259" s="2" t="inlineStr">
        <is>
          <t>2025-07-22</t>
        </is>
      </c>
      <c r="J259" s="2" t="inlineStr">
        <is>
          <t>/assets/cards/The_One_Called_Forth.jpeg</t>
        </is>
      </c>
      <c r="K259" s="2" t="inlineStr">
        <is>
          <t>No</t>
        </is>
      </c>
      <c r="L259" s="2" t="inlineStr">
        <is>
          <t>No</t>
        </is>
      </c>
      <c r="M259" s="2" t="inlineStr">
        <is>
          <t>No</t>
        </is>
      </c>
      <c r="N259" s="2">
        <f>IF(AND($K259="Yes",$L259="Yes",$M259="Yes"),"Yes","No")</f>
        <v/>
      </c>
      <c r="O259" s="2" t="inlineStr"/>
    </row>
    <row r="260">
      <c r="A260" s="2" t="inlineStr">
        <is>
          <t>CARD-00253</t>
        </is>
      </c>
      <c r="B260" s="2" t="inlineStr">
        <is>
          <t>Shining Brigade - Stand Together!</t>
        </is>
      </c>
      <c r="C260" s="2" t="inlineStr">
        <is>
          <t>DAEL</t>
        </is>
      </c>
      <c r="D260" s="2" t="inlineStr">
        <is>
          <t>083</t>
        </is>
      </c>
      <c r="E260" s="2" t="inlineStr">
        <is>
          <t>Dawn of the Elements</t>
        </is>
      </c>
      <c r="F260" s="2" t="inlineStr">
        <is>
          <t>Spell</t>
        </is>
      </c>
      <c r="G260" s="2" t="inlineStr">
        <is>
          <t>Spell / Continuous</t>
        </is>
      </c>
      <c r="H260" s="2" t="inlineStr">
        <is>
          <t>Shining Brigade</t>
        </is>
      </c>
      <c r="I260" s="2" t="inlineStr">
        <is>
          <t>2025-07-22</t>
        </is>
      </c>
      <c r="J260" s="2" t="inlineStr">
        <is>
          <t>/assets/cards/Shining_Brigade_-_Stand_Together.jpeg</t>
        </is>
      </c>
      <c r="K260" s="2" t="inlineStr">
        <is>
          <t>No</t>
        </is>
      </c>
      <c r="L260" s="2" t="inlineStr">
        <is>
          <t>No</t>
        </is>
      </c>
      <c r="M260" s="2" t="inlineStr">
        <is>
          <t>No</t>
        </is>
      </c>
      <c r="N260" s="2">
        <f>IF(AND($K260="Yes",$L260="Yes",$M260="Yes"),"Yes","No")</f>
        <v/>
      </c>
      <c r="O260" s="2" t="inlineStr"/>
    </row>
    <row r="261">
      <c r="A261" s="2" t="inlineStr">
        <is>
          <t>CARD-00254</t>
        </is>
      </c>
      <c r="B261" s="2" t="inlineStr">
        <is>
          <t>We're the Shining Brigade!</t>
        </is>
      </c>
      <c r="C261" s="2" t="inlineStr">
        <is>
          <t>DAEL</t>
        </is>
      </c>
      <c r="D261" s="2" t="inlineStr">
        <is>
          <t>084</t>
        </is>
      </c>
      <c r="E261" s="2" t="inlineStr">
        <is>
          <t>Dawn of the Elements</t>
        </is>
      </c>
      <c r="F261" s="2" t="inlineStr">
        <is>
          <t>Spell</t>
        </is>
      </c>
      <c r="G261" s="2" t="inlineStr">
        <is>
          <t>Spell / Field</t>
        </is>
      </c>
      <c r="H261" s="2" t="inlineStr">
        <is>
          <t>Shining Brigade</t>
        </is>
      </c>
      <c r="I261" s="2" t="inlineStr">
        <is>
          <t>2025-07-22</t>
        </is>
      </c>
      <c r="J261" s="2" t="inlineStr">
        <is>
          <t>/assets/cards/Were_the_Shining_Brigade.jpeg</t>
        </is>
      </c>
      <c r="K261" s="2" t="inlineStr">
        <is>
          <t>No</t>
        </is>
      </c>
      <c r="L261" s="2" t="inlineStr">
        <is>
          <t>No</t>
        </is>
      </c>
      <c r="M261" s="2" t="inlineStr">
        <is>
          <t>No</t>
        </is>
      </c>
      <c r="N261" s="2">
        <f>IF(AND($K261="Yes",$L261="Yes",$M261="Yes"),"Yes","No")</f>
        <v/>
      </c>
      <c r="O261" s="2" t="inlineStr"/>
    </row>
    <row r="262">
      <c r="A262" s="2" t="inlineStr">
        <is>
          <t>CARD-0X254</t>
        </is>
      </c>
      <c r="B262" s="2" t="inlineStr">
        <is>
          <t>Pixie Bot</t>
        </is>
      </c>
      <c r="C262" s="2" t="inlineStr"/>
      <c r="D262" s="2" t="inlineStr"/>
      <c r="E262" s="2" t="inlineStr">
        <is>
          <t>DAEL-0XX Dawn of the Elements</t>
        </is>
      </c>
      <c r="F262" s="2" t="inlineStr">
        <is>
          <t>Monster</t>
        </is>
      </c>
      <c r="G262" s="2" t="inlineStr">
        <is>
          <t>Cyberse / Tuner / Effect</t>
        </is>
      </c>
      <c r="H262" s="2" t="inlineStr"/>
      <c r="I262" s="2" t="inlineStr">
        <is>
          <t>2025-07-22</t>
        </is>
      </c>
      <c r="J262" s="2" t="inlineStr">
        <is>
          <t>/assets/cards/Pixie_Bot.jpeg</t>
        </is>
      </c>
      <c r="K262" s="2" t="inlineStr">
        <is>
          <t>No</t>
        </is>
      </c>
      <c r="L262" s="2" t="inlineStr">
        <is>
          <t>No</t>
        </is>
      </c>
      <c r="M262" s="2" t="inlineStr">
        <is>
          <t>No</t>
        </is>
      </c>
      <c r="N262" s="2">
        <f>IF(AND($K262="Yes",$L262="Yes",$M262="Yes"),"Yes","No")</f>
        <v/>
      </c>
      <c r="O262" s="2" t="inlineStr"/>
    </row>
    <row r="263">
      <c r="A263" s="2" t="inlineStr">
        <is>
          <t>CARD-00255</t>
        </is>
      </c>
      <c r="B263" s="2" t="inlineStr">
        <is>
          <t>Shining Brigade - Last Stand</t>
        </is>
      </c>
      <c r="C263" s="2" t="inlineStr">
        <is>
          <t>DAEL</t>
        </is>
      </c>
      <c r="D263" s="2" t="inlineStr">
        <is>
          <t>085</t>
        </is>
      </c>
      <c r="E263" s="2" t="inlineStr">
        <is>
          <t>Dawn of the Elements</t>
        </is>
      </c>
      <c r="F263" s="2" t="inlineStr">
        <is>
          <t>Trap</t>
        </is>
      </c>
      <c r="G263" s="2" t="inlineStr">
        <is>
          <t>Trap / Continuous</t>
        </is>
      </c>
      <c r="H263" s="2" t="inlineStr">
        <is>
          <t>Shining Brigade</t>
        </is>
      </c>
      <c r="I263" s="2" t="inlineStr">
        <is>
          <t>2025-07-22</t>
        </is>
      </c>
      <c r="J263" s="2" t="inlineStr">
        <is>
          <t>/assets/cards/Shining_Brigade_-_Last_Stand.jpeg</t>
        </is>
      </c>
      <c r="K263" s="2" t="inlineStr">
        <is>
          <t>No</t>
        </is>
      </c>
      <c r="L263" s="2" t="inlineStr">
        <is>
          <t>No</t>
        </is>
      </c>
      <c r="M263" s="2" t="inlineStr">
        <is>
          <t>No</t>
        </is>
      </c>
      <c r="N263" s="2">
        <f>IF(AND($K263="Yes",$L263="Yes",$M263="Yes"),"Yes","No")</f>
        <v/>
      </c>
      <c r="O263" s="2" t="inlineStr"/>
    </row>
    <row r="264">
      <c r="A264" s="2" t="inlineStr">
        <is>
          <t>CARD-00256</t>
        </is>
      </c>
      <c r="B264" s="2" t="inlineStr">
        <is>
          <t>Chrono-Saur Brachio</t>
        </is>
      </c>
      <c r="C264" s="2" t="inlineStr">
        <is>
          <t>DAEL</t>
        </is>
      </c>
      <c r="D264" s="2" t="inlineStr">
        <is>
          <t>086</t>
        </is>
      </c>
      <c r="E264" s="2" t="inlineStr">
        <is>
          <t>Dawn of the Elements</t>
        </is>
      </c>
      <c r="F264" s="2" t="inlineStr">
        <is>
          <t>Monster</t>
        </is>
      </c>
      <c r="G264" s="2" t="inlineStr">
        <is>
          <t>Dinosaur / Effect</t>
        </is>
      </c>
      <c r="H264" s="2" t="inlineStr">
        <is>
          <t>Chrono-Saur</t>
        </is>
      </c>
      <c r="I264" s="2" t="inlineStr">
        <is>
          <t>2025-07-22</t>
        </is>
      </c>
      <c r="J264" s="2" t="inlineStr">
        <is>
          <t>/assets/cards/Chrono-Saur_Brachio.jpeg</t>
        </is>
      </c>
      <c r="K264" s="2" t="inlineStr">
        <is>
          <t>No</t>
        </is>
      </c>
      <c r="L264" s="2" t="inlineStr">
        <is>
          <t>No</t>
        </is>
      </c>
      <c r="M264" s="2" t="inlineStr">
        <is>
          <t>No</t>
        </is>
      </c>
      <c r="N264" s="2">
        <f>IF(AND($K264="Yes",$L264="Yes",$M264="Yes"),"Yes","No")</f>
        <v/>
      </c>
      <c r="O264" s="2" t="inlineStr"/>
    </row>
    <row r="265">
      <c r="A265" s="2" t="inlineStr">
        <is>
          <t>CARD-00257</t>
        </is>
      </c>
      <c r="B265" s="2" t="inlineStr">
        <is>
          <t>Chrono-Saur Dactylus</t>
        </is>
      </c>
      <c r="C265" s="2" t="inlineStr">
        <is>
          <t>DAEL</t>
        </is>
      </c>
      <c r="D265" s="2" t="inlineStr">
        <is>
          <t>087</t>
        </is>
      </c>
      <c r="E265" s="2" t="inlineStr">
        <is>
          <t>Dawn of the Elements</t>
        </is>
      </c>
      <c r="F265" s="2" t="inlineStr">
        <is>
          <t>Monster</t>
        </is>
      </c>
      <c r="G265" s="2" t="inlineStr">
        <is>
          <t>Dinosaur / Effect</t>
        </is>
      </c>
      <c r="H265" s="2" t="inlineStr">
        <is>
          <t>Chrono-Saur</t>
        </is>
      </c>
      <c r="I265" s="2" t="inlineStr">
        <is>
          <t>2025-07-22</t>
        </is>
      </c>
      <c r="J265" s="2" t="inlineStr">
        <is>
          <t>/assets/cards/Chrono-Saur_Dactylus.jpeg</t>
        </is>
      </c>
      <c r="K265" s="2" t="inlineStr">
        <is>
          <t>No</t>
        </is>
      </c>
      <c r="L265" s="2" t="inlineStr">
        <is>
          <t>No</t>
        </is>
      </c>
      <c r="M265" s="2" t="inlineStr">
        <is>
          <t>No</t>
        </is>
      </c>
      <c r="N265" s="2">
        <f>IF(AND($K265="Yes",$L265="Yes",$M265="Yes"),"Yes","No")</f>
        <v/>
      </c>
      <c r="O265" s="2" t="inlineStr"/>
    </row>
    <row r="266">
      <c r="A266" s="2" t="inlineStr">
        <is>
          <t>CARD-00258</t>
        </is>
      </c>
      <c r="B266" s="2" t="inlineStr">
        <is>
          <t>Chrono-Saur Tricera</t>
        </is>
      </c>
      <c r="C266" s="2" t="inlineStr">
        <is>
          <t>DAEL</t>
        </is>
      </c>
      <c r="D266" s="2" t="inlineStr">
        <is>
          <t>088</t>
        </is>
      </c>
      <c r="E266" s="2" t="inlineStr">
        <is>
          <t>Dawn of the Elements</t>
        </is>
      </c>
      <c r="F266" s="2" t="inlineStr">
        <is>
          <t>Monster</t>
        </is>
      </c>
      <c r="G266" s="2" t="inlineStr">
        <is>
          <t>Dinosaur / Effect</t>
        </is>
      </c>
      <c r="H266" s="2" t="inlineStr">
        <is>
          <t>Chrono-Saur</t>
        </is>
      </c>
      <c r="I266" s="2" t="inlineStr">
        <is>
          <t>2025-07-22</t>
        </is>
      </c>
      <c r="J266" s="2" t="inlineStr">
        <is>
          <t>/assets/cards/Chrono-Saur_Tricera.jpeg</t>
        </is>
      </c>
      <c r="K266" s="2" t="inlineStr">
        <is>
          <t>No</t>
        </is>
      </c>
      <c r="L266" s="2" t="inlineStr">
        <is>
          <t>No</t>
        </is>
      </c>
      <c r="M266" s="2" t="inlineStr">
        <is>
          <t>No</t>
        </is>
      </c>
      <c r="N266" s="2">
        <f>IF(AND($K266="Yes",$L266="Yes",$M266="Yes"),"Yes","No")</f>
        <v/>
      </c>
      <c r="O266" s="2" t="inlineStr"/>
    </row>
    <row r="267">
      <c r="A267" s="2" t="inlineStr">
        <is>
          <t>CARD-00259</t>
        </is>
      </c>
      <c r="B267" s="2" t="inlineStr">
        <is>
          <t>Chrono-Saur Stegian</t>
        </is>
      </c>
      <c r="C267" s="2" t="inlineStr">
        <is>
          <t>DAEL</t>
        </is>
      </c>
      <c r="D267" s="2" t="inlineStr">
        <is>
          <t>089</t>
        </is>
      </c>
      <c r="E267" s="2" t="inlineStr">
        <is>
          <t>Dawn of the Elements</t>
        </is>
      </c>
      <c r="F267" s="2" t="inlineStr">
        <is>
          <t>Monster</t>
        </is>
      </c>
      <c r="G267" s="2" t="inlineStr">
        <is>
          <t>Dinosaur / Effect</t>
        </is>
      </c>
      <c r="H267" s="2" t="inlineStr">
        <is>
          <t>Chrono-Saur</t>
        </is>
      </c>
      <c r="I267" s="2" t="inlineStr">
        <is>
          <t>2025-07-22</t>
        </is>
      </c>
      <c r="J267" s="2" t="inlineStr">
        <is>
          <t>/assets/cards/Chrono-Saur_Stegian.jpeg</t>
        </is>
      </c>
      <c r="K267" s="2" t="inlineStr">
        <is>
          <t>No</t>
        </is>
      </c>
      <c r="L267" s="2" t="inlineStr">
        <is>
          <t>No</t>
        </is>
      </c>
      <c r="M267" s="2" t="inlineStr">
        <is>
          <t>No</t>
        </is>
      </c>
      <c r="N267" s="2">
        <f>IF(AND($K267="Yes",$L267="Yes",$M267="Yes"),"Yes","No")</f>
        <v/>
      </c>
      <c r="O267" s="2" t="inlineStr"/>
    </row>
    <row r="268">
      <c r="A268" s="2" t="inlineStr">
        <is>
          <t>CARD-00260</t>
        </is>
      </c>
      <c r="B268" s="2" t="inlineStr">
        <is>
          <t>Chrono-Saur Rex</t>
        </is>
      </c>
      <c r="C268" s="2" t="inlineStr">
        <is>
          <t>DAEL</t>
        </is>
      </c>
      <c r="D268" s="2" t="inlineStr">
        <is>
          <t>090</t>
        </is>
      </c>
      <c r="E268" s="2" t="inlineStr">
        <is>
          <t>Dawn of the Elements</t>
        </is>
      </c>
      <c r="F268" s="2" t="inlineStr">
        <is>
          <t>Monster</t>
        </is>
      </c>
      <c r="G268" s="2" t="inlineStr">
        <is>
          <t>Dinosaur / Effect</t>
        </is>
      </c>
      <c r="H268" s="2" t="inlineStr">
        <is>
          <t>Chrono-Saur</t>
        </is>
      </c>
      <c r="I268" s="2" t="inlineStr">
        <is>
          <t>2025-07-22</t>
        </is>
      </c>
      <c r="J268" s="2" t="inlineStr">
        <is>
          <t>/assets/cards/Chrono-Saur_Rex.jpeg</t>
        </is>
      </c>
      <c r="K268" s="2" t="inlineStr">
        <is>
          <t>No</t>
        </is>
      </c>
      <c r="L268" s="2" t="inlineStr">
        <is>
          <t>No</t>
        </is>
      </c>
      <c r="M268" s="2" t="inlineStr">
        <is>
          <t>No</t>
        </is>
      </c>
      <c r="N268" s="2">
        <f>IF(AND($K268="Yes",$L268="Yes",$M268="Yes"),"Yes","No")</f>
        <v/>
      </c>
      <c r="O268" s="2" t="inlineStr"/>
    </row>
    <row r="269">
      <c r="A269" s="2" t="inlineStr">
        <is>
          <t>CARD-00261</t>
        </is>
      </c>
      <c r="B269" s="2" t="inlineStr">
        <is>
          <t>Chrono-Saur Laplace Plesio</t>
        </is>
      </c>
      <c r="C269" s="2" t="inlineStr">
        <is>
          <t>DAEL</t>
        </is>
      </c>
      <c r="D269" s="2" t="inlineStr">
        <is>
          <t>091</t>
        </is>
      </c>
      <c r="E269" s="2" t="inlineStr">
        <is>
          <t>Dawn of the Elements</t>
        </is>
      </c>
      <c r="F269" s="2" t="inlineStr">
        <is>
          <t>Spell</t>
        </is>
      </c>
      <c r="G269" s="2" t="inlineStr">
        <is>
          <t>Spell / Field</t>
        </is>
      </c>
      <c r="H269" s="2" t="inlineStr">
        <is>
          <t>Chrono-Saur</t>
        </is>
      </c>
      <c r="I269" s="2" t="inlineStr">
        <is>
          <t>2025-07-22</t>
        </is>
      </c>
      <c r="J269" s="2" t="inlineStr">
        <is>
          <t>/assets/cards/Chrono-Saur_Laplace_Plesio.jpeg</t>
        </is>
      </c>
      <c r="K269" s="2" t="inlineStr">
        <is>
          <t>No</t>
        </is>
      </c>
      <c r="L269" s="2" t="inlineStr">
        <is>
          <t>No</t>
        </is>
      </c>
      <c r="M269" s="2" t="inlineStr">
        <is>
          <t>No</t>
        </is>
      </c>
      <c r="N269" s="2">
        <f>IF(AND($K269="Yes",$L269="Yes",$M269="Yes"),"Yes","No")</f>
        <v/>
      </c>
      <c r="O269" s="2" t="inlineStr"/>
    </row>
    <row r="270">
      <c r="A270" s="2" t="inlineStr">
        <is>
          <t>CARD-00262</t>
        </is>
      </c>
      <c r="B270" s="2" t="inlineStr">
        <is>
          <t>Chrono-Saur Force</t>
        </is>
      </c>
      <c r="C270" s="2" t="inlineStr">
        <is>
          <t>DAEL</t>
        </is>
      </c>
      <c r="D270" s="2" t="inlineStr">
        <is>
          <t>092</t>
        </is>
      </c>
      <c r="E270" s="2" t="inlineStr">
        <is>
          <t>Dawn of the Elements</t>
        </is>
      </c>
      <c r="F270" s="2" t="inlineStr">
        <is>
          <t>Trap</t>
        </is>
      </c>
      <c r="G270" s="2" t="inlineStr">
        <is>
          <t>Trap / Normal</t>
        </is>
      </c>
      <c r="H270" s="2" t="inlineStr">
        <is>
          <t>Chrono-Saur</t>
        </is>
      </c>
      <c r="I270" s="2" t="inlineStr">
        <is>
          <t>2025-07-22</t>
        </is>
      </c>
      <c r="J270" s="2" t="inlineStr">
        <is>
          <t>/assets/cards/Chrono-Saur_Force.jpeg</t>
        </is>
      </c>
      <c r="K270" s="2" t="inlineStr">
        <is>
          <t>No</t>
        </is>
      </c>
      <c r="L270" s="2" t="inlineStr">
        <is>
          <t>No</t>
        </is>
      </c>
      <c r="M270" s="2" t="inlineStr">
        <is>
          <t>No</t>
        </is>
      </c>
      <c r="N270" s="2">
        <f>IF(AND($K270="Yes",$L270="Yes",$M270="Yes"),"Yes","No")</f>
        <v/>
      </c>
      <c r="O270" s="2" t="inlineStr"/>
    </row>
    <row r="271">
      <c r="A271" s="2" t="inlineStr">
        <is>
          <t>CARD-00263</t>
        </is>
      </c>
      <c r="B271" s="2" t="inlineStr">
        <is>
          <t>Chrono-Saur Counter</t>
        </is>
      </c>
      <c r="C271" s="2" t="inlineStr">
        <is>
          <t>DAEL</t>
        </is>
      </c>
      <c r="D271" s="2" t="inlineStr">
        <is>
          <t>093</t>
        </is>
      </c>
      <c r="E271" s="2" t="inlineStr">
        <is>
          <t>Dawn of the Elements</t>
        </is>
      </c>
      <c r="F271" s="2" t="inlineStr">
        <is>
          <t>Trap</t>
        </is>
      </c>
      <c r="G271" s="2" t="inlineStr">
        <is>
          <t>Trap / Normal</t>
        </is>
      </c>
      <c r="H271" s="2" t="inlineStr">
        <is>
          <t>Chrono-Saur</t>
        </is>
      </c>
      <c r="I271" s="2" t="inlineStr">
        <is>
          <t>2025-07-22</t>
        </is>
      </c>
      <c r="J271" s="2" t="inlineStr">
        <is>
          <t>/assets/cards/Chrono-Saur_Counter.jpeg</t>
        </is>
      </c>
      <c r="K271" s="2" t="inlineStr">
        <is>
          <t>No</t>
        </is>
      </c>
      <c r="L271" s="2" t="inlineStr">
        <is>
          <t>No</t>
        </is>
      </c>
      <c r="M271" s="2" t="inlineStr">
        <is>
          <t>No</t>
        </is>
      </c>
      <c r="N271" s="2">
        <f>IF(AND($K271="Yes",$L271="Yes",$M271="Yes"),"Yes","No")</f>
        <v/>
      </c>
      <c r="O271" s="2" t="inlineStr"/>
    </row>
    <row r="272">
      <c r="A272" s="2" t="inlineStr">
        <is>
          <t>CARD-00264</t>
        </is>
      </c>
      <c r="B272" s="2" t="inlineStr">
        <is>
          <t>Aqua Whirlpool</t>
        </is>
      </c>
      <c r="C272" s="2" t="inlineStr">
        <is>
          <t>DAEL</t>
        </is>
      </c>
      <c r="D272" s="2" t="inlineStr">
        <is>
          <t>094</t>
        </is>
      </c>
      <c r="E272" s="2" t="inlineStr">
        <is>
          <t>Dawn of the Elements</t>
        </is>
      </c>
      <c r="F272" s="2" t="inlineStr">
        <is>
          <t>Spell</t>
        </is>
      </c>
      <c r="G272" s="2" t="inlineStr">
        <is>
          <t>Spell / Quick-Play</t>
        </is>
      </c>
      <c r="H272" s="2" t="inlineStr"/>
      <c r="I272" s="2" t="inlineStr">
        <is>
          <t>2025-07-22</t>
        </is>
      </c>
      <c r="J272" s="2" t="inlineStr">
        <is>
          <t>/assets/cards/Aqua_Whirlpool.jpeg</t>
        </is>
      </c>
      <c r="K272" s="2" t="inlineStr">
        <is>
          <t>No</t>
        </is>
      </c>
      <c r="L272" s="2" t="inlineStr">
        <is>
          <t>No</t>
        </is>
      </c>
      <c r="M272" s="2" t="inlineStr">
        <is>
          <t>No</t>
        </is>
      </c>
      <c r="N272" s="2">
        <f>IF(AND($K272="Yes",$L272="Yes",$M272="Yes"),"Yes","No")</f>
        <v/>
      </c>
      <c r="O272" s="2" t="inlineStr"/>
    </row>
    <row r="273">
      <c r="A273" s="2" t="inlineStr">
        <is>
          <t>CARD-00265</t>
        </is>
      </c>
      <c r="B273" s="2" t="inlineStr">
        <is>
          <t>Aquila, Zephorion's Predictor</t>
        </is>
      </c>
      <c r="C273" s="2" t="inlineStr">
        <is>
          <t>DAEL</t>
        </is>
      </c>
      <c r="D273" s="2" t="inlineStr">
        <is>
          <t>095</t>
        </is>
      </c>
      <c r="E273" s="2" t="inlineStr">
        <is>
          <t>Dawn of the Elements</t>
        </is>
      </c>
      <c r="F273" s="2" t="inlineStr">
        <is>
          <t>Monster</t>
        </is>
      </c>
      <c r="G273" s="2" t="inlineStr">
        <is>
          <t>Warrior / Effect</t>
        </is>
      </c>
      <c r="H273" s="2" t="inlineStr">
        <is>
          <t>Eldora</t>
        </is>
      </c>
      <c r="I273" s="2" t="inlineStr">
        <is>
          <t>2025-07-22</t>
        </is>
      </c>
      <c r="J273" s="2" t="inlineStr">
        <is>
          <t>/assets/cards/Aquila_Zephorions_Predictor.jpeg</t>
        </is>
      </c>
      <c r="K273" s="2" t="inlineStr">
        <is>
          <t>No</t>
        </is>
      </c>
      <c r="L273" s="2" t="inlineStr">
        <is>
          <t>No</t>
        </is>
      </c>
      <c r="M273" s="2" t="inlineStr">
        <is>
          <t>No</t>
        </is>
      </c>
      <c r="N273" s="2">
        <f>IF(AND($K273="Yes",$L273="Yes",$M273="Yes"),"Yes","No")</f>
        <v/>
      </c>
      <c r="O273" s="2" t="inlineStr"/>
    </row>
    <row r="274">
      <c r="A274" s="2" t="inlineStr">
        <is>
          <t>CARD-00266</t>
        </is>
      </c>
      <c r="B274" s="2" t="inlineStr">
        <is>
          <t>Auriga of the Eldoran Empire</t>
        </is>
      </c>
      <c r="C274" s="2" t="inlineStr">
        <is>
          <t>DAEL</t>
        </is>
      </c>
      <c r="D274" s="2" t="inlineStr">
        <is>
          <t>096</t>
        </is>
      </c>
      <c r="E274" s="2" t="inlineStr">
        <is>
          <t>Dawn of the Elements</t>
        </is>
      </c>
      <c r="F274" s="2" t="inlineStr">
        <is>
          <t>Monster</t>
        </is>
      </c>
      <c r="G274" s="2" t="inlineStr">
        <is>
          <t>Warrior / Effect</t>
        </is>
      </c>
      <c r="H274" s="2" t="inlineStr">
        <is>
          <t>Eldora</t>
        </is>
      </c>
      <c r="I274" s="2" t="inlineStr">
        <is>
          <t>2025-07-22</t>
        </is>
      </c>
      <c r="J274" s="2" t="inlineStr">
        <is>
          <t>/assets/cards/Auriga_of_the_Eldoran_Empire.jpeg</t>
        </is>
      </c>
      <c r="K274" s="2" t="inlineStr">
        <is>
          <t>No</t>
        </is>
      </c>
      <c r="L274" s="2" t="inlineStr">
        <is>
          <t>No</t>
        </is>
      </c>
      <c r="M274" s="2" t="inlineStr">
        <is>
          <t>No</t>
        </is>
      </c>
      <c r="N274" s="2">
        <f>IF(AND($K274="Yes",$L274="Yes",$M274="Yes"),"Yes","No")</f>
        <v/>
      </c>
      <c r="O274" s="2" t="inlineStr"/>
    </row>
    <row r="275">
      <c r="A275" s="2" t="inlineStr">
        <is>
          <t>CARD-00267</t>
        </is>
      </c>
      <c r="B275" s="2" t="inlineStr">
        <is>
          <t>Eridani, Squire of Zephorion Prime</t>
        </is>
      </c>
      <c r="C275" s="2" t="inlineStr">
        <is>
          <t>DAEL</t>
        </is>
      </c>
      <c r="D275" s="2" t="inlineStr">
        <is>
          <t>097</t>
        </is>
      </c>
      <c r="E275" s="2" t="inlineStr">
        <is>
          <t>Dawn of the Elements</t>
        </is>
      </c>
      <c r="F275" s="2" t="inlineStr">
        <is>
          <t>Monster</t>
        </is>
      </c>
      <c r="G275" s="2" t="inlineStr">
        <is>
          <t>Warrior / Effect</t>
        </is>
      </c>
      <c r="H275" s="2" t="inlineStr">
        <is>
          <t>Eldora</t>
        </is>
      </c>
      <c r="I275" s="2" t="inlineStr">
        <is>
          <t>2025-07-22</t>
        </is>
      </c>
      <c r="J275" s="2" t="inlineStr">
        <is>
          <t>/assets/cards/Eridani_Squire_of_Zephorion_Prime.jpeg</t>
        </is>
      </c>
      <c r="K275" s="2" t="inlineStr">
        <is>
          <t>No</t>
        </is>
      </c>
      <c r="L275" s="2" t="inlineStr">
        <is>
          <t>No</t>
        </is>
      </c>
      <c r="M275" s="2" t="inlineStr">
        <is>
          <t>No</t>
        </is>
      </c>
      <c r="N275" s="2">
        <f>IF(AND($K275="Yes",$L275="Yes",$M275="Yes"),"Yes","No")</f>
        <v/>
      </c>
      <c r="O275" s="2" t="inlineStr"/>
    </row>
    <row r="276">
      <c r="A276" s="2" t="inlineStr">
        <is>
          <t>CARD-00268</t>
        </is>
      </c>
      <c r="B276" s="2" t="inlineStr">
        <is>
          <t>The Spires of Zephorion Prime</t>
        </is>
      </c>
      <c r="C276" s="2" t="inlineStr">
        <is>
          <t>DAEL</t>
        </is>
      </c>
      <c r="D276" s="2" t="inlineStr">
        <is>
          <t>098</t>
        </is>
      </c>
      <c r="E276" s="2" t="inlineStr">
        <is>
          <t>Dawn of the Elements</t>
        </is>
      </c>
      <c r="F276" s="2" t="inlineStr">
        <is>
          <t>Spell</t>
        </is>
      </c>
      <c r="G276" s="2" t="inlineStr">
        <is>
          <t>Spell / Continuous</t>
        </is>
      </c>
      <c r="H276" s="2" t="inlineStr">
        <is>
          <t>Eldora</t>
        </is>
      </c>
      <c r="I276" s="2" t="inlineStr">
        <is>
          <t>2025-07-22</t>
        </is>
      </c>
      <c r="J276" s="2" t="inlineStr">
        <is>
          <t>/assets/cards/The_Spires_of_Zephorion_Prime.jpeg</t>
        </is>
      </c>
      <c r="K276" s="2" t="inlineStr">
        <is>
          <t>No</t>
        </is>
      </c>
      <c r="L276" s="2" t="inlineStr">
        <is>
          <t>No</t>
        </is>
      </c>
      <c r="M276" s="2" t="inlineStr">
        <is>
          <t>No</t>
        </is>
      </c>
      <c r="N276" s="2">
        <f>IF(AND($K276="Yes",$L276="Yes",$M276="Yes"),"Yes","No")</f>
        <v/>
      </c>
      <c r="O276" s="2" t="inlineStr"/>
    </row>
    <row r="277">
      <c r="A277" s="2" t="inlineStr">
        <is>
          <t>CARD-00269</t>
        </is>
      </c>
      <c r="B277" s="2" t="inlineStr">
        <is>
          <t>Chapter II Verse IV</t>
        </is>
      </c>
      <c r="C277" s="2" t="inlineStr">
        <is>
          <t>DAEL</t>
        </is>
      </c>
      <c r="D277" s="2" t="inlineStr">
        <is>
          <t>099</t>
        </is>
      </c>
      <c r="E277" s="2" t="inlineStr">
        <is>
          <t>Dawn of the Elements</t>
        </is>
      </c>
      <c r="F277" s="2" t="inlineStr">
        <is>
          <t>Trap</t>
        </is>
      </c>
      <c r="G277" s="2" t="inlineStr">
        <is>
          <t>Trap / Normal</t>
        </is>
      </c>
      <c r="H277" s="2" t="inlineStr">
        <is>
          <t>The Hallowed Scripts</t>
        </is>
      </c>
      <c r="I277" s="2" t="inlineStr">
        <is>
          <t>2025-07-22</t>
        </is>
      </c>
      <c r="J277" s="2" t="inlineStr">
        <is>
          <t>/assets/cards/Chapter_II_Verse_IV.jpeg</t>
        </is>
      </c>
      <c r="K277" s="2" t="inlineStr">
        <is>
          <t>No</t>
        </is>
      </c>
      <c r="L277" s="2" t="inlineStr">
        <is>
          <t>No</t>
        </is>
      </c>
      <c r="M277" s="2" t="inlineStr">
        <is>
          <t>No</t>
        </is>
      </c>
      <c r="N277" s="2">
        <f>IF(AND($K277="Yes",$L277="Yes",$M277="Yes"),"Yes","No")</f>
        <v/>
      </c>
      <c r="O277" s="2" t="inlineStr"/>
    </row>
    <row r="278">
      <c r="A278" s="2" t="inlineStr">
        <is>
          <t>CARD-00270</t>
        </is>
      </c>
      <c r="B278" s="2" t="inlineStr">
        <is>
          <t>Aqua Droplet</t>
        </is>
      </c>
      <c r="C278" s="2" t="inlineStr">
        <is>
          <t>DAEL</t>
        </is>
      </c>
      <c r="D278" s="2" t="inlineStr">
        <is>
          <t>100</t>
        </is>
      </c>
      <c r="E278" s="2" t="inlineStr">
        <is>
          <t>Dawn of the Elements</t>
        </is>
      </c>
      <c r="F278" s="2" t="inlineStr">
        <is>
          <t>Monster</t>
        </is>
      </c>
      <c r="G278" s="2" t="inlineStr">
        <is>
          <t>Aqua / Effect</t>
        </is>
      </c>
      <c r="H278" s="2" t="inlineStr">
        <is>
          <t>Aquamarine</t>
        </is>
      </c>
      <c r="I278" s="2" t="inlineStr">
        <is>
          <t>2025-07-22</t>
        </is>
      </c>
      <c r="J278" s="2" t="inlineStr">
        <is>
          <t>/assets/cards/Aqua_Droplet.jpeg</t>
        </is>
      </c>
      <c r="K278" s="2" t="inlineStr">
        <is>
          <t>No</t>
        </is>
      </c>
      <c r="L278" s="2" t="inlineStr">
        <is>
          <t>No</t>
        </is>
      </c>
      <c r="M278" s="2" t="inlineStr">
        <is>
          <t>No</t>
        </is>
      </c>
      <c r="N278" s="2">
        <f>IF(AND($K278="Yes",$L278="Yes",$M278="Yes"),"Yes","No")</f>
        <v/>
      </c>
      <c r="O278" s="2" t="inlineStr"/>
    </row>
    <row r="279">
      <c r="A279" s="2" t="inlineStr">
        <is>
          <t>CARD-00271</t>
        </is>
      </c>
      <c r="B279" s="2" t="inlineStr">
        <is>
          <t>Aquamarine Moon Aurelia</t>
        </is>
      </c>
      <c r="C279" s="2" t="inlineStr">
        <is>
          <t>DAEL</t>
        </is>
      </c>
      <c r="D279" s="2" t="inlineStr">
        <is>
          <t>101</t>
        </is>
      </c>
      <c r="E279" s="2" t="inlineStr">
        <is>
          <t>Dawn of the Elements</t>
        </is>
      </c>
      <c r="F279" s="2" t="inlineStr">
        <is>
          <t>Monster</t>
        </is>
      </c>
      <c r="G279" s="2" t="inlineStr">
        <is>
          <t>Aqua / Effect</t>
        </is>
      </c>
      <c r="H279" s="2" t="inlineStr">
        <is>
          <t>Aquamarine</t>
        </is>
      </c>
      <c r="I279" s="2" t="inlineStr">
        <is>
          <t>2025-07-22</t>
        </is>
      </c>
      <c r="J279" s="2" t="inlineStr">
        <is>
          <t>/assets/cards/Aquamarine_Moon_Aurelia.jpeg</t>
        </is>
      </c>
      <c r="K279" s="2" t="inlineStr">
        <is>
          <t>No</t>
        </is>
      </c>
      <c r="L279" s="2" t="inlineStr">
        <is>
          <t>No</t>
        </is>
      </c>
      <c r="M279" s="2" t="inlineStr">
        <is>
          <t>No</t>
        </is>
      </c>
      <c r="N279" s="2">
        <f>IF(AND($K279="Yes",$L279="Yes",$M279="Yes"),"Yes","No")</f>
        <v/>
      </c>
      <c r="O279" s="2" t="inlineStr"/>
    </row>
    <row r="280">
      <c r="A280" s="2" t="inlineStr">
        <is>
          <t>CARD-00272</t>
        </is>
      </c>
      <c r="B280" s="2" t="inlineStr">
        <is>
          <t>Aquamarine Plate Montipora</t>
        </is>
      </c>
      <c r="C280" s="2" t="inlineStr">
        <is>
          <t>DAEL</t>
        </is>
      </c>
      <c r="D280" s="2" t="inlineStr">
        <is>
          <t>102</t>
        </is>
      </c>
      <c r="E280" s="2" t="inlineStr">
        <is>
          <t>Dawn of the Elements</t>
        </is>
      </c>
      <c r="F280" s="2" t="inlineStr">
        <is>
          <t>Monster</t>
        </is>
      </c>
      <c r="G280" s="2" t="inlineStr">
        <is>
          <t>Aqua / Effect</t>
        </is>
      </c>
      <c r="H280" s="2" t="inlineStr">
        <is>
          <t>Aquamarine</t>
        </is>
      </c>
      <c r="I280" s="2" t="inlineStr">
        <is>
          <t>2025-07-22</t>
        </is>
      </c>
      <c r="J280" s="2" t="inlineStr">
        <is>
          <t>/assets/cards/Aquamarine_Plate_Montipora.jpeg</t>
        </is>
      </c>
      <c r="K280" s="2" t="inlineStr">
        <is>
          <t>No</t>
        </is>
      </c>
      <c r="L280" s="2" t="inlineStr">
        <is>
          <t>No</t>
        </is>
      </c>
      <c r="M280" s="2" t="inlineStr">
        <is>
          <t>No</t>
        </is>
      </c>
      <c r="N280" s="2">
        <f>IF(AND($K280="Yes",$L280="Yes",$M280="Yes"),"Yes","No")</f>
        <v/>
      </c>
      <c r="O280" s="2" t="inlineStr"/>
    </row>
    <row r="281">
      <c r="A281" s="2" t="inlineStr">
        <is>
          <t>CARD-00273</t>
        </is>
      </c>
      <c r="B281" s="2" t="inlineStr">
        <is>
          <t>Aquamarine Pisaster Giga</t>
        </is>
      </c>
      <c r="C281" s="2" t="inlineStr">
        <is>
          <t>DAEL</t>
        </is>
      </c>
      <c r="D281" s="2" t="inlineStr">
        <is>
          <t>103</t>
        </is>
      </c>
      <c r="E281" s="2" t="inlineStr">
        <is>
          <t>Dawn of the Elements</t>
        </is>
      </c>
      <c r="F281" s="2" t="inlineStr">
        <is>
          <t>Monster</t>
        </is>
      </c>
      <c r="G281" s="2" t="inlineStr">
        <is>
          <t>Aqua / Effect</t>
        </is>
      </c>
      <c r="H281" s="2" t="inlineStr">
        <is>
          <t>Aquamarine</t>
        </is>
      </c>
      <c r="I281" s="2" t="inlineStr">
        <is>
          <t>2025-07-22</t>
        </is>
      </c>
      <c r="J281" s="2" t="inlineStr">
        <is>
          <t>/assets/cards/Aquamarine_Pisaster_Giga.jpeg</t>
        </is>
      </c>
      <c r="K281" s="2" t="inlineStr">
        <is>
          <t>No</t>
        </is>
      </c>
      <c r="L281" s="2" t="inlineStr">
        <is>
          <t>No</t>
        </is>
      </c>
      <c r="M281" s="2" t="inlineStr">
        <is>
          <t>No</t>
        </is>
      </c>
      <c r="N281" s="2">
        <f>IF(AND($K281="Yes",$L281="Yes",$M281="Yes"),"Yes","No")</f>
        <v/>
      </c>
      <c r="O281" s="2" t="inlineStr"/>
    </row>
    <row r="282">
      <c r="A282" s="2" t="inlineStr">
        <is>
          <t>CARD-00274</t>
        </is>
      </c>
      <c r="B282" s="2" t="inlineStr">
        <is>
          <t>Aquamarine Asthenosoma</t>
        </is>
      </c>
      <c r="C282" s="2" t="inlineStr">
        <is>
          <t>DAEL</t>
        </is>
      </c>
      <c r="D282" s="2" t="inlineStr">
        <is>
          <t>104</t>
        </is>
      </c>
      <c r="E282" s="2" t="inlineStr">
        <is>
          <t>Dawn of the Elements</t>
        </is>
      </c>
      <c r="F282" s="2" t="inlineStr">
        <is>
          <t>Monster</t>
        </is>
      </c>
      <c r="G282" s="2" t="inlineStr">
        <is>
          <t>Aqua / Effect</t>
        </is>
      </c>
      <c r="H282" s="2" t="inlineStr">
        <is>
          <t>Aquamarine</t>
        </is>
      </c>
      <c r="I282" s="2" t="inlineStr">
        <is>
          <t>2025-07-22</t>
        </is>
      </c>
      <c r="J282" s="2" t="inlineStr">
        <is>
          <t>/assets/cards/Aquamarine_Asthenosoma.jpeg</t>
        </is>
      </c>
      <c r="K282" s="2" t="inlineStr">
        <is>
          <t>No</t>
        </is>
      </c>
      <c r="L282" s="2" t="inlineStr">
        <is>
          <t>No</t>
        </is>
      </c>
      <c r="M282" s="2" t="inlineStr">
        <is>
          <t>No</t>
        </is>
      </c>
      <c r="N282" s="2">
        <f>IF(AND($K282="Yes",$L282="Yes",$M282="Yes"),"Yes","No")</f>
        <v/>
      </c>
      <c r="O282" s="2" t="inlineStr"/>
    </row>
    <row r="283">
      <c r="A283" s="2" t="inlineStr">
        <is>
          <t>CARD-00275</t>
        </is>
      </c>
      <c r="B283" s="2" t="inlineStr">
        <is>
          <t>Aquamarine Calling</t>
        </is>
      </c>
      <c r="C283" s="2" t="inlineStr">
        <is>
          <t>DAEL</t>
        </is>
      </c>
      <c r="D283" s="2" t="inlineStr">
        <is>
          <t>105</t>
        </is>
      </c>
      <c r="E283" s="2" t="inlineStr">
        <is>
          <t>Dawn of the Elements</t>
        </is>
      </c>
      <c r="F283" s="2" t="inlineStr">
        <is>
          <t>Spell</t>
        </is>
      </c>
      <c r="G283" s="2" t="inlineStr">
        <is>
          <t>Spell / Normal</t>
        </is>
      </c>
      <c r="H283" s="2" t="inlineStr">
        <is>
          <t>Aquamarine</t>
        </is>
      </c>
      <c r="I283" s="2" t="inlineStr">
        <is>
          <t>2025-07-22</t>
        </is>
      </c>
      <c r="J283" s="2" t="inlineStr">
        <is>
          <t>/assets/cards/Aquamarine_Calling.jpg</t>
        </is>
      </c>
      <c r="K283" s="2" t="inlineStr">
        <is>
          <t>No</t>
        </is>
      </c>
      <c r="L283" s="2" t="inlineStr">
        <is>
          <t>No</t>
        </is>
      </c>
      <c r="M283" s="2" t="inlineStr">
        <is>
          <t>No</t>
        </is>
      </c>
      <c r="N283" s="2">
        <f>IF(AND($K283="Yes",$L283="Yes",$M283="Yes"),"Yes","No")</f>
        <v/>
      </c>
      <c r="O283" s="2" t="inlineStr"/>
    </row>
    <row r="284">
      <c r="A284" s="2" t="inlineStr">
        <is>
          <t>CARD-0276</t>
        </is>
      </c>
      <c r="B284" s="2" t="inlineStr">
        <is>
          <t>Treasure of the Cosmic Ocean</t>
        </is>
      </c>
      <c r="C284" s="2" t="inlineStr">
        <is>
          <t>DAEL</t>
        </is>
      </c>
      <c r="D284" s="2" t="inlineStr">
        <is>
          <t>116</t>
        </is>
      </c>
      <c r="E284" s="2" t="inlineStr">
        <is>
          <t>Dawn of the Elements</t>
        </is>
      </c>
      <c r="F284" s="2" t="inlineStr">
        <is>
          <t>Spell</t>
        </is>
      </c>
      <c r="G284" s="2" t="inlineStr">
        <is>
          <t>Spell / Normal</t>
        </is>
      </c>
      <c r="H284" s="2" t="inlineStr"/>
      <c r="I284" s="2" t="inlineStr">
        <is>
          <t>2025-07-22</t>
        </is>
      </c>
      <c r="J284" s="2" t="inlineStr">
        <is>
          <t>/assets/cards/Treasure_of_the_Cosmic_Ocean.jpeg</t>
        </is>
      </c>
      <c r="K284" s="2" t="inlineStr">
        <is>
          <t>No</t>
        </is>
      </c>
      <c r="L284" s="2" t="inlineStr">
        <is>
          <t>No</t>
        </is>
      </c>
      <c r="M284" s="2" t="inlineStr">
        <is>
          <t>No</t>
        </is>
      </c>
      <c r="N284" s="2">
        <f>IF(AND($K284="Yes",$L284="Yes",$M284="Yes"),"Yes","No")</f>
        <v/>
      </c>
      <c r="O284" s="2" t="inlineStr"/>
    </row>
    <row r="285">
      <c r="A285" s="2" t="inlineStr">
        <is>
          <t>CARD-00277</t>
        </is>
      </c>
      <c r="B285" s="2" t="inlineStr">
        <is>
          <t>Aqua Fusion</t>
        </is>
      </c>
      <c r="C285" s="2" t="inlineStr">
        <is>
          <t>DAEL</t>
        </is>
      </c>
      <c r="D285" s="2" t="inlineStr">
        <is>
          <t>107</t>
        </is>
      </c>
      <c r="E285" s="2" t="inlineStr">
        <is>
          <t>Dawn of the Elements</t>
        </is>
      </c>
      <c r="F285" s="2" t="inlineStr">
        <is>
          <t>Spell</t>
        </is>
      </c>
      <c r="G285" s="2" t="inlineStr">
        <is>
          <t>Spell / Normal</t>
        </is>
      </c>
      <c r="H285" s="2" t="inlineStr">
        <is>
          <t>Aquamarine</t>
        </is>
      </c>
      <c r="I285" s="2" t="inlineStr">
        <is>
          <t>2025-07-22</t>
        </is>
      </c>
      <c r="J285" s="2" t="inlineStr">
        <is>
          <t>/assets/cards/Aqua_Fusion.jpeg</t>
        </is>
      </c>
      <c r="K285" s="2" t="inlineStr">
        <is>
          <t>No</t>
        </is>
      </c>
      <c r="L285" s="2" t="inlineStr">
        <is>
          <t>No</t>
        </is>
      </c>
      <c r="M285" s="2" t="inlineStr">
        <is>
          <t>No</t>
        </is>
      </c>
      <c r="N285" s="2">
        <f>IF(AND($K285="Yes",$L285="Yes",$M285="Yes"),"Yes","No")</f>
        <v/>
      </c>
      <c r="O285" s="2" t="inlineStr"/>
    </row>
    <row r="286">
      <c r="A286" s="2" t="inlineStr">
        <is>
          <t>CARD-00278</t>
        </is>
      </c>
      <c r="B286" s="2" t="inlineStr">
        <is>
          <t>Aquamarine Bubble Surge</t>
        </is>
      </c>
      <c r="C286" s="2" t="inlineStr">
        <is>
          <t>DAEL</t>
        </is>
      </c>
      <c r="D286" s="2" t="inlineStr">
        <is>
          <t>108</t>
        </is>
      </c>
      <c r="E286" s="2" t="inlineStr">
        <is>
          <t>Dawn of the Elements</t>
        </is>
      </c>
      <c r="F286" s="2" t="inlineStr">
        <is>
          <t>Trap</t>
        </is>
      </c>
      <c r="G286" s="2" t="inlineStr">
        <is>
          <t>Trap / Continuous</t>
        </is>
      </c>
      <c r="H286" s="2" t="inlineStr">
        <is>
          <t>Aquamarine</t>
        </is>
      </c>
      <c r="I286" s="2" t="inlineStr">
        <is>
          <t>2025-07-22</t>
        </is>
      </c>
      <c r="J286" s="2" t="inlineStr">
        <is>
          <t>/assets/cards/Aquamarine_Bubble_Surge.jpeg</t>
        </is>
      </c>
      <c r="K286" s="2" t="inlineStr">
        <is>
          <t>No</t>
        </is>
      </c>
      <c r="L286" s="2" t="inlineStr">
        <is>
          <t>No</t>
        </is>
      </c>
      <c r="M286" s="2" t="inlineStr">
        <is>
          <t>No</t>
        </is>
      </c>
      <c r="N286" s="2">
        <f>IF(AND($K286="Yes",$L286="Yes",$M286="Yes"),"Yes","No")</f>
        <v/>
      </c>
      <c r="O286" s="2" t="inlineStr"/>
    </row>
    <row r="287">
      <c r="A287" s="2" t="inlineStr">
        <is>
          <t>CARD-00279</t>
        </is>
      </c>
      <c r="B287" s="2" t="inlineStr">
        <is>
          <t>Aquamarine Planktonites</t>
        </is>
      </c>
      <c r="C287" s="2" t="inlineStr">
        <is>
          <t>DAEL</t>
        </is>
      </c>
      <c r="D287" s="2" t="inlineStr">
        <is>
          <t>109</t>
        </is>
      </c>
      <c r="E287" s="2" t="inlineStr">
        <is>
          <t>Dawn of the Elements</t>
        </is>
      </c>
      <c r="F287" s="2" t="inlineStr">
        <is>
          <t>Monster</t>
        </is>
      </c>
      <c r="G287" s="2" t="inlineStr">
        <is>
          <t>Aqua / Fusion / Effect</t>
        </is>
      </c>
      <c r="H287" s="2" t="inlineStr">
        <is>
          <t>Aquamarine</t>
        </is>
      </c>
      <c r="I287" s="2" t="inlineStr">
        <is>
          <t>2025-07-22</t>
        </is>
      </c>
      <c r="J287" s="2" t="inlineStr">
        <is>
          <t>/assets/cards/Aquamarine_Planktonites.jpeg</t>
        </is>
      </c>
      <c r="K287" s="2" t="inlineStr">
        <is>
          <t>No</t>
        </is>
      </c>
      <c r="L287" s="2" t="inlineStr">
        <is>
          <t>No</t>
        </is>
      </c>
      <c r="M287" s="2" t="inlineStr">
        <is>
          <t>No</t>
        </is>
      </c>
      <c r="N287" s="2">
        <f>IF(AND($K287="Yes",$L287="Yes",$M287="Yes"),"Yes","No")</f>
        <v/>
      </c>
      <c r="O287" s="2" t="inlineStr"/>
    </row>
    <row r="288">
      <c r="A288" s="2" t="inlineStr">
        <is>
          <t>CARD-00280</t>
        </is>
      </c>
      <c r="B288" s="2" t="inlineStr">
        <is>
          <t>Aquamarine Nautilus</t>
        </is>
      </c>
      <c r="C288" s="2" t="inlineStr">
        <is>
          <t>DAEL</t>
        </is>
      </c>
      <c r="D288" s="2" t="inlineStr">
        <is>
          <t>110</t>
        </is>
      </c>
      <c r="E288" s="2" t="inlineStr">
        <is>
          <t>Dawn of the Elements</t>
        </is>
      </c>
      <c r="F288" s="2" t="inlineStr">
        <is>
          <t>Monster</t>
        </is>
      </c>
      <c r="G288" s="2" t="inlineStr">
        <is>
          <t>Aqua / Fusion / Effect</t>
        </is>
      </c>
      <c r="H288" s="2" t="inlineStr">
        <is>
          <t>Aquamarine</t>
        </is>
      </c>
      <c r="I288" s="2" t="inlineStr">
        <is>
          <t>2025-07-22</t>
        </is>
      </c>
      <c r="J288" s="2" t="inlineStr">
        <is>
          <t>/assets/cards/Aquamarine_Nautilus.jpeg</t>
        </is>
      </c>
      <c r="K288" s="2" t="inlineStr">
        <is>
          <t>No</t>
        </is>
      </c>
      <c r="L288" s="2" t="inlineStr">
        <is>
          <t>No</t>
        </is>
      </c>
      <c r="M288" s="2" t="inlineStr">
        <is>
          <t>No</t>
        </is>
      </c>
      <c r="N288" s="2">
        <f>IF(AND($K288="Yes",$L288="Yes",$M288="Yes"),"Yes","No")</f>
        <v/>
      </c>
      <c r="O288" s="2" t="inlineStr"/>
    </row>
    <row r="289">
      <c r="A289" s="2" t="inlineStr">
        <is>
          <t>CARD-00281</t>
        </is>
      </c>
      <c r="B289" s="2" t="inlineStr">
        <is>
          <t>Aquamarine Actinia</t>
        </is>
      </c>
      <c r="C289" s="2" t="inlineStr">
        <is>
          <t>DAEL</t>
        </is>
      </c>
      <c r="D289" s="2" t="inlineStr">
        <is>
          <t>111</t>
        </is>
      </c>
      <c r="E289" s="2" t="inlineStr">
        <is>
          <t>Dawn of the Elements</t>
        </is>
      </c>
      <c r="F289" s="2" t="inlineStr">
        <is>
          <t>Monster</t>
        </is>
      </c>
      <c r="G289" s="2" t="inlineStr">
        <is>
          <t>Aqua / Fusion / Effect</t>
        </is>
      </c>
      <c r="H289" s="2" t="inlineStr">
        <is>
          <t>Aquamarine</t>
        </is>
      </c>
      <c r="I289" s="2" t="inlineStr">
        <is>
          <t>2025-07-22</t>
        </is>
      </c>
      <c r="J289" s="2" t="inlineStr">
        <is>
          <t>/assets/cards/Aquamarine_Actinia.jpeg</t>
        </is>
      </c>
      <c r="K289" s="2" t="inlineStr">
        <is>
          <t>No</t>
        </is>
      </c>
      <c r="L289" s="2" t="inlineStr">
        <is>
          <t>No</t>
        </is>
      </c>
      <c r="M289" s="2" t="inlineStr">
        <is>
          <t>No</t>
        </is>
      </c>
      <c r="N289" s="2">
        <f>IF(AND($K289="Yes",$L289="Yes",$M289="Yes"),"Yes","No")</f>
        <v/>
      </c>
      <c r="O289" s="2" t="inlineStr"/>
    </row>
    <row r="290">
      <c r="A290" s="2" t="inlineStr">
        <is>
          <t>CARD-00282</t>
        </is>
      </c>
      <c r="B290" s="2" t="inlineStr">
        <is>
          <t>Aquamarine Physalia</t>
        </is>
      </c>
      <c r="C290" s="2" t="inlineStr">
        <is>
          <t>DAEL</t>
        </is>
      </c>
      <c r="D290" s="2" t="inlineStr">
        <is>
          <t>112</t>
        </is>
      </c>
      <c r="E290" s="2" t="inlineStr">
        <is>
          <t>Dawn of the Elements</t>
        </is>
      </c>
      <c r="F290" s="2" t="inlineStr">
        <is>
          <t>Monster</t>
        </is>
      </c>
      <c r="G290" s="2" t="inlineStr">
        <is>
          <t>Aqua / Fusion / Effect</t>
        </is>
      </c>
      <c r="H290" s="2" t="inlineStr">
        <is>
          <t>Aquamarine</t>
        </is>
      </c>
      <c r="I290" s="2" t="inlineStr">
        <is>
          <t>2025-07-22</t>
        </is>
      </c>
      <c r="J290" s="2" t="inlineStr">
        <is>
          <t>/assets/cards/Aquamarine_Physalia.jpeg</t>
        </is>
      </c>
      <c r="K290" s="2" t="inlineStr">
        <is>
          <t>No</t>
        </is>
      </c>
      <c r="L290" s="2" t="inlineStr">
        <is>
          <t>No</t>
        </is>
      </c>
      <c r="M290" s="2" t="inlineStr">
        <is>
          <t>No</t>
        </is>
      </c>
      <c r="N290" s="2">
        <f>IF(AND($K290="Yes",$L290="Yes",$M290="Yes"),"Yes","No")</f>
        <v/>
      </c>
      <c r="O290" s="2" t="inlineStr"/>
    </row>
    <row r="291">
      <c r="A291" s="2" t="inlineStr">
        <is>
          <t>CARD-00283</t>
        </is>
      </c>
      <c r="B291" s="2" t="inlineStr">
        <is>
          <t>Aquamarine Glaucus</t>
        </is>
      </c>
      <c r="C291" s="2" t="inlineStr">
        <is>
          <t>DAEL</t>
        </is>
      </c>
      <c r="D291" s="2" t="inlineStr">
        <is>
          <t>113</t>
        </is>
      </c>
      <c r="E291" s="2" t="inlineStr">
        <is>
          <t>Dawn of the Elements</t>
        </is>
      </c>
      <c r="F291" s="2" t="inlineStr">
        <is>
          <t>Monster</t>
        </is>
      </c>
      <c r="G291" s="2" t="inlineStr">
        <is>
          <t>Aqua / Fusion / Effect</t>
        </is>
      </c>
      <c r="H291" s="2" t="inlineStr">
        <is>
          <t>Aquamarine</t>
        </is>
      </c>
      <c r="I291" s="2" t="inlineStr">
        <is>
          <t>2025-07-22</t>
        </is>
      </c>
      <c r="J291" s="2" t="inlineStr">
        <is>
          <t>/assets/cards/Aquamarine_Glaucus.jpeg</t>
        </is>
      </c>
      <c r="K291" s="2" t="inlineStr">
        <is>
          <t>No</t>
        </is>
      </c>
      <c r="L291" s="2" t="inlineStr">
        <is>
          <t>No</t>
        </is>
      </c>
      <c r="M291" s="2" t="inlineStr">
        <is>
          <t>No</t>
        </is>
      </c>
      <c r="N291" s="2">
        <f>IF(AND($K291="Yes",$L291="Yes",$M291="Yes"),"Yes","No")</f>
        <v/>
      </c>
      <c r="O291" s="2" t="inlineStr"/>
    </row>
    <row r="292">
      <c r="A292" s="2" t="inlineStr">
        <is>
          <t>CARD-00284</t>
        </is>
      </c>
      <c r="B292" s="2" t="inlineStr">
        <is>
          <t>Aquamarine Reef Hapalochlaena</t>
        </is>
      </c>
      <c r="C292" s="2" t="inlineStr">
        <is>
          <t>DAEL</t>
        </is>
      </c>
      <c r="D292" s="2" t="inlineStr">
        <is>
          <t>114</t>
        </is>
      </c>
      <c r="E292" s="2" t="inlineStr">
        <is>
          <t>Dawn of the Elements</t>
        </is>
      </c>
      <c r="F292" s="2" t="inlineStr">
        <is>
          <t>Monster</t>
        </is>
      </c>
      <c r="G292" s="2" t="inlineStr">
        <is>
          <t>Aqua / Fusion / Effect</t>
        </is>
      </c>
      <c r="H292" s="2" t="inlineStr">
        <is>
          <t>Aquamarine</t>
        </is>
      </c>
      <c r="I292" s="2" t="inlineStr">
        <is>
          <t>2025-07-22</t>
        </is>
      </c>
      <c r="J292" s="2" t="inlineStr">
        <is>
          <t>/assets/cards/Aquamarine_Reef_Hapalochlaena.jpeg</t>
        </is>
      </c>
      <c r="K292" s="2" t="inlineStr">
        <is>
          <t>No</t>
        </is>
      </c>
      <c r="L292" s="2" t="inlineStr">
        <is>
          <t>No</t>
        </is>
      </c>
      <c r="M292" s="2" t="inlineStr">
        <is>
          <t>No</t>
        </is>
      </c>
      <c r="N292" s="2">
        <f>IF(AND($K292="Yes",$L292="Yes",$M292="Yes"),"Yes","No")</f>
        <v/>
      </c>
      <c r="O292" s="2" t="inlineStr"/>
    </row>
    <row r="293">
      <c r="A293" s="2" t="inlineStr">
        <is>
          <t>CARD-00285</t>
        </is>
      </c>
      <c r="B293" s="2" t="inlineStr">
        <is>
          <t>Hiding "C"</t>
        </is>
      </c>
      <c r="C293" s="2" t="inlineStr">
        <is>
          <t>DAEL</t>
        </is>
      </c>
      <c r="D293" s="2" t="inlineStr">
        <is>
          <t>115</t>
        </is>
      </c>
      <c r="E293" s="2" t="inlineStr">
        <is>
          <t>Dawn of the Elements</t>
        </is>
      </c>
      <c r="F293" s="2" t="inlineStr">
        <is>
          <t>Monster</t>
        </is>
      </c>
      <c r="G293" s="2" t="inlineStr">
        <is>
          <t>Insect / Effect</t>
        </is>
      </c>
      <c r="H293" s="2" t="inlineStr">
        <is>
          <t>C</t>
        </is>
      </c>
      <c r="I293" s="2" t="inlineStr">
        <is>
          <t>2025-07-22</t>
        </is>
      </c>
      <c r="J293" s="2" t="inlineStr">
        <is>
          <t>/assets/cards/Hiding__C.jpeg</t>
        </is>
      </c>
      <c r="K293" s="2" t="inlineStr">
        <is>
          <t>No</t>
        </is>
      </c>
      <c r="L293" s="2" t="inlineStr">
        <is>
          <t>No</t>
        </is>
      </c>
      <c r="M293" s="2" t="inlineStr">
        <is>
          <t>No</t>
        </is>
      </c>
      <c r="N293" s="2">
        <f>IF(AND($K293="Yes",$L293="Yes",$M293="Yes"),"Yes","No")</f>
        <v/>
      </c>
      <c r="O293" s="2" t="inlineStr"/>
    </row>
    <row r="294">
      <c r="A294" s="2" t="inlineStr">
        <is>
          <t>CARD-00286</t>
        </is>
      </c>
      <c r="B294" s="2" t="inlineStr">
        <is>
          <t>Farad, the Purple Ohmen</t>
        </is>
      </c>
      <c r="C294" s="2" t="inlineStr">
        <is>
          <t>DAEL</t>
        </is>
      </c>
      <c r="D294" s="2" t="inlineStr">
        <is>
          <t>116</t>
        </is>
      </c>
      <c r="E294" s="2" t="inlineStr">
        <is>
          <t>Dawn of the Elements</t>
        </is>
      </c>
      <c r="F294" s="2" t="inlineStr">
        <is>
          <t>Monster</t>
        </is>
      </c>
      <c r="G294" s="2" t="inlineStr">
        <is>
          <t>Thunder / Effect</t>
        </is>
      </c>
      <c r="H294" s="2" t="inlineStr">
        <is>
          <t>Ohmen</t>
        </is>
      </c>
      <c r="I294" s="2" t="inlineStr">
        <is>
          <t>2025-07-22</t>
        </is>
      </c>
      <c r="J294" s="2" t="inlineStr">
        <is>
          <t>/assets/cards/Farad.jpg</t>
        </is>
      </c>
      <c r="K294" s="2" t="inlineStr">
        <is>
          <t>No</t>
        </is>
      </c>
      <c r="L294" s="2" t="inlineStr">
        <is>
          <t>No</t>
        </is>
      </c>
      <c r="M294" s="2" t="inlineStr">
        <is>
          <t>No</t>
        </is>
      </c>
      <c r="N294" s="2">
        <f>IF(AND($K294="Yes",$L294="Yes",$M294="Yes"),"Yes","No")</f>
        <v/>
      </c>
      <c r="O294" s="2" t="inlineStr"/>
    </row>
    <row r="295">
      <c r="A295" s="2" t="inlineStr">
        <is>
          <t>CARD-00287</t>
        </is>
      </c>
      <c r="B295" s="2" t="inlineStr">
        <is>
          <t>Volt, the Green Ohmen</t>
        </is>
      </c>
      <c r="C295" s="2" t="inlineStr">
        <is>
          <t>DAEL</t>
        </is>
      </c>
      <c r="D295" s="2" t="inlineStr">
        <is>
          <t>117</t>
        </is>
      </c>
      <c r="E295" s="2" t="inlineStr">
        <is>
          <t>Dawn of the Elements</t>
        </is>
      </c>
      <c r="F295" s="2" t="inlineStr">
        <is>
          <t>Monster</t>
        </is>
      </c>
      <c r="G295" s="2" t="inlineStr">
        <is>
          <t>Thunder / Effect</t>
        </is>
      </c>
      <c r="H295" s="2" t="inlineStr">
        <is>
          <t>Ohmen</t>
        </is>
      </c>
      <c r="I295" s="2" t="inlineStr">
        <is>
          <t>2025-07-22</t>
        </is>
      </c>
      <c r="J295" s="2" t="inlineStr">
        <is>
          <t>/assets/cards/Volt.jpg</t>
        </is>
      </c>
      <c r="K295" s="2" t="inlineStr">
        <is>
          <t>No</t>
        </is>
      </c>
      <c r="L295" s="2" t="inlineStr">
        <is>
          <t>No</t>
        </is>
      </c>
      <c r="M295" s="2" t="inlineStr">
        <is>
          <t>No</t>
        </is>
      </c>
      <c r="N295" s="2">
        <f>IF(AND($K295="Yes",$L295="Yes",$M295="Yes"),"Yes","No")</f>
        <v/>
      </c>
      <c r="O295" s="2" t="inlineStr"/>
    </row>
    <row r="296">
      <c r="A296" s="2" t="inlineStr">
        <is>
          <t>CARD-00288</t>
        </is>
      </c>
      <c r="B296" s="2" t="inlineStr">
        <is>
          <t>Ampere, the Yellow Ohmen</t>
        </is>
      </c>
      <c r="C296" s="2" t="inlineStr">
        <is>
          <t>DAEL</t>
        </is>
      </c>
      <c r="D296" s="2" t="inlineStr">
        <is>
          <t>118</t>
        </is>
      </c>
      <c r="E296" s="2" t="inlineStr">
        <is>
          <t>Dawn of the Elements</t>
        </is>
      </c>
      <c r="F296" s="2" t="inlineStr">
        <is>
          <t>Monster</t>
        </is>
      </c>
      <c r="G296" s="2" t="inlineStr">
        <is>
          <t>Thunder / Effect</t>
        </is>
      </c>
      <c r="H296" s="2" t="inlineStr">
        <is>
          <t>Ohmen</t>
        </is>
      </c>
      <c r="I296" s="2" t="inlineStr">
        <is>
          <t>2025-07-22</t>
        </is>
      </c>
      <c r="J296" s="2" t="inlineStr">
        <is>
          <t>/assets/cards/Ampere.jpg</t>
        </is>
      </c>
      <c r="K296" s="2" t="inlineStr">
        <is>
          <t>No</t>
        </is>
      </c>
      <c r="L296" s="2" t="inlineStr">
        <is>
          <t>No</t>
        </is>
      </c>
      <c r="M296" s="2" t="inlineStr">
        <is>
          <t>No</t>
        </is>
      </c>
      <c r="N296" s="2">
        <f>IF(AND($K296="Yes",$L296="Yes",$M296="Yes"),"Yes","No")</f>
        <v/>
      </c>
      <c r="O296" s="2" t="inlineStr"/>
    </row>
    <row r="297">
      <c r="A297" s="2" t="inlineStr">
        <is>
          <t>CARD-00289</t>
        </is>
      </c>
      <c r="B297" s="2" t="inlineStr">
        <is>
          <t>Siemens, the Blue Ohmen</t>
        </is>
      </c>
      <c r="C297" s="2" t="inlineStr">
        <is>
          <t>DAEL</t>
        </is>
      </c>
      <c r="D297" s="2" t="inlineStr">
        <is>
          <t>119</t>
        </is>
      </c>
      <c r="E297" s="2" t="inlineStr">
        <is>
          <t>Dawn of the Elements</t>
        </is>
      </c>
      <c r="F297" s="2" t="inlineStr">
        <is>
          <t>Monster</t>
        </is>
      </c>
      <c r="G297" s="2" t="inlineStr">
        <is>
          <t>Thunder / Effect</t>
        </is>
      </c>
      <c r="H297" s="2" t="inlineStr">
        <is>
          <t>Ohmen</t>
        </is>
      </c>
      <c r="I297" s="2" t="inlineStr">
        <is>
          <t>2025-07-22</t>
        </is>
      </c>
      <c r="J297" s="2" t="inlineStr">
        <is>
          <t>/assets/cards/Siemens.jpg</t>
        </is>
      </c>
      <c r="K297" s="2" t="inlineStr">
        <is>
          <t>No</t>
        </is>
      </c>
      <c r="L297" s="2" t="inlineStr">
        <is>
          <t>No</t>
        </is>
      </c>
      <c r="M297" s="2" t="inlineStr">
        <is>
          <t>No</t>
        </is>
      </c>
      <c r="N297" s="2">
        <f>IF(AND($K297="Yes",$L297="Yes",$M297="Yes"),"Yes","No")</f>
        <v/>
      </c>
      <c r="O297" s="2" t="inlineStr"/>
    </row>
    <row r="298">
      <c r="A298" s="2" t="inlineStr">
        <is>
          <t>CARD-00290</t>
        </is>
      </c>
      <c r="B298" s="2" t="inlineStr">
        <is>
          <t>Coulomb, the White Ohmen</t>
        </is>
      </c>
      <c r="C298" s="2" t="inlineStr">
        <is>
          <t>DAEL</t>
        </is>
      </c>
      <c r="D298" s="2" t="inlineStr">
        <is>
          <t>120</t>
        </is>
      </c>
      <c r="E298" s="2" t="inlineStr">
        <is>
          <t>Dawn of the Elements</t>
        </is>
      </c>
      <c r="F298" s="2" t="inlineStr">
        <is>
          <t>Monster</t>
        </is>
      </c>
      <c r="G298" s="2" t="inlineStr">
        <is>
          <t>Thunder / Effect</t>
        </is>
      </c>
      <c r="H298" s="2" t="inlineStr">
        <is>
          <t>Ohmen</t>
        </is>
      </c>
      <c r="I298" s="2" t="inlineStr">
        <is>
          <t>2025-07-22</t>
        </is>
      </c>
      <c r="J298" s="2" t="inlineStr">
        <is>
          <t>/assets/cards/Coulomb.jpg</t>
        </is>
      </c>
      <c r="K298" s="2" t="inlineStr">
        <is>
          <t>No</t>
        </is>
      </c>
      <c r="L298" s="2" t="inlineStr">
        <is>
          <t>No</t>
        </is>
      </c>
      <c r="M298" s="2" t="inlineStr">
        <is>
          <t>No</t>
        </is>
      </c>
      <c r="N298" s="2">
        <f>IF(AND($K298="Yes",$L298="Yes",$M298="Yes"),"Yes","No")</f>
        <v/>
      </c>
      <c r="O298" s="2" t="inlineStr"/>
    </row>
    <row r="299">
      <c r="A299" s="2" t="inlineStr">
        <is>
          <t>CARD-00291</t>
        </is>
      </c>
      <c r="B299" s="2" t="inlineStr">
        <is>
          <t>Carcel, the Dark Ohmen</t>
        </is>
      </c>
      <c r="C299" s="2" t="inlineStr">
        <is>
          <t>DAEL</t>
        </is>
      </c>
      <c r="D299" s="2" t="inlineStr">
        <is>
          <t>121</t>
        </is>
      </c>
      <c r="E299" s="2" t="inlineStr">
        <is>
          <t>Dawn of the Elements</t>
        </is>
      </c>
      <c r="F299" s="2" t="inlineStr">
        <is>
          <t>Monster</t>
        </is>
      </c>
      <c r="G299" s="2" t="inlineStr">
        <is>
          <t>Thunder / Effect</t>
        </is>
      </c>
      <c r="H299" s="2" t="inlineStr">
        <is>
          <t>Ohmen</t>
        </is>
      </c>
      <c r="I299" s="2" t="inlineStr">
        <is>
          <t>2025-07-22</t>
        </is>
      </c>
      <c r="J299" s="2" t="inlineStr">
        <is>
          <t>/assets/cards/Carcel.jpg</t>
        </is>
      </c>
      <c r="K299" s="2" t="inlineStr">
        <is>
          <t>No</t>
        </is>
      </c>
      <c r="L299" s="2" t="inlineStr">
        <is>
          <t>No</t>
        </is>
      </c>
      <c r="M299" s="2" t="inlineStr">
        <is>
          <t>No</t>
        </is>
      </c>
      <c r="N299" s="2">
        <f>IF(AND($K299="Yes",$L299="Yes",$M299="Yes"),"Yes","No")</f>
        <v/>
      </c>
      <c r="O299" s="2" t="inlineStr"/>
    </row>
    <row r="300">
      <c r="A300" s="2" t="inlineStr">
        <is>
          <t>CARD-00292</t>
        </is>
      </c>
      <c r="B300" s="2" t="inlineStr">
        <is>
          <t>Ohmen Surge</t>
        </is>
      </c>
      <c r="C300" s="2" t="inlineStr">
        <is>
          <t>DAEL</t>
        </is>
      </c>
      <c r="D300" s="2" t="inlineStr">
        <is>
          <t>122</t>
        </is>
      </c>
      <c r="E300" s="2" t="inlineStr">
        <is>
          <t>Dawn of the Elements</t>
        </is>
      </c>
      <c r="F300" s="2" t="inlineStr">
        <is>
          <t>Spell</t>
        </is>
      </c>
      <c r="G300" s="2" t="inlineStr">
        <is>
          <t>Spell / Continuous</t>
        </is>
      </c>
      <c r="H300" s="2" t="inlineStr">
        <is>
          <t>Ohmen</t>
        </is>
      </c>
      <c r="I300" s="2" t="inlineStr">
        <is>
          <t>2025-07-22</t>
        </is>
      </c>
      <c r="J300" s="2" t="inlineStr">
        <is>
          <t>/assets/cards/Surge.jpg</t>
        </is>
      </c>
      <c r="K300" s="2" t="inlineStr">
        <is>
          <t>No</t>
        </is>
      </c>
      <c r="L300" s="2" t="inlineStr">
        <is>
          <t>No</t>
        </is>
      </c>
      <c r="M300" s="2" t="inlineStr">
        <is>
          <t>No</t>
        </is>
      </c>
      <c r="N300" s="2">
        <f>IF(AND($K300="Yes",$L300="Yes",$M300="Yes"),"Yes","No")</f>
        <v/>
      </c>
      <c r="O300" s="2" t="inlineStr"/>
    </row>
    <row r="301">
      <c r="A301" s="2" t="inlineStr">
        <is>
          <t>CARD-00293</t>
        </is>
      </c>
      <c r="B301" s="2" t="inlineStr">
        <is>
          <t>Siemens, the Ohmechanic Conductor</t>
        </is>
      </c>
      <c r="C301" s="2" t="inlineStr">
        <is>
          <t>DAEL</t>
        </is>
      </c>
      <c r="D301" s="2" t="inlineStr">
        <is>
          <t>123</t>
        </is>
      </c>
      <c r="E301" s="2" t="inlineStr">
        <is>
          <t>Dawn of the Elements</t>
        </is>
      </c>
      <c r="F301" s="2" t="inlineStr">
        <is>
          <t>Monster</t>
        </is>
      </c>
      <c r="G301" s="2" t="inlineStr">
        <is>
          <t>Thunder / Link / Effect</t>
        </is>
      </c>
      <c r="H301" s="2" t="inlineStr">
        <is>
          <t>Ohmen</t>
        </is>
      </c>
      <c r="I301" s="2" t="inlineStr">
        <is>
          <t>2025-07-22</t>
        </is>
      </c>
      <c r="J301" s="2" t="inlineStr">
        <is>
          <t>/assets/cards/Siemens_Link.jpg</t>
        </is>
      </c>
      <c r="K301" s="2" t="inlineStr">
        <is>
          <t>No</t>
        </is>
      </c>
      <c r="L301" s="2" t="inlineStr">
        <is>
          <t>No</t>
        </is>
      </c>
      <c r="M301" s="2" t="inlineStr">
        <is>
          <t>No</t>
        </is>
      </c>
      <c r="N301" s="2">
        <f>IF(AND($K301="Yes",$L301="Yes",$M301="Yes"),"Yes","No")</f>
        <v/>
      </c>
      <c r="O301" s="2" t="inlineStr"/>
    </row>
    <row r="302">
      <c r="A302" s="2" t="inlineStr">
        <is>
          <t>CARD-00294</t>
        </is>
      </c>
      <c r="B302" s="2" t="inlineStr">
        <is>
          <t>Farad, the Ohmechanic Capacitor</t>
        </is>
      </c>
      <c r="C302" s="2" t="inlineStr">
        <is>
          <t>DAEL</t>
        </is>
      </c>
      <c r="D302" s="2" t="inlineStr">
        <is>
          <t>124</t>
        </is>
      </c>
      <c r="E302" s="2" t="inlineStr">
        <is>
          <t>Dawn of the Elements</t>
        </is>
      </c>
      <c r="F302" s="2" t="inlineStr">
        <is>
          <t>Monster</t>
        </is>
      </c>
      <c r="G302" s="2" t="inlineStr">
        <is>
          <t>Thunder / Link / Effect</t>
        </is>
      </c>
      <c r="H302" s="2" t="inlineStr">
        <is>
          <t>Ohmen</t>
        </is>
      </c>
      <c r="I302" s="2" t="inlineStr">
        <is>
          <t>2025-07-22</t>
        </is>
      </c>
      <c r="J302" s="2" t="inlineStr">
        <is>
          <t>/assets/cards/Farad_Link.jpeg</t>
        </is>
      </c>
      <c r="K302" s="2" t="inlineStr">
        <is>
          <t>No</t>
        </is>
      </c>
      <c r="L302" s="2" t="inlineStr">
        <is>
          <t>No</t>
        </is>
      </c>
      <c r="M302" s="2" t="inlineStr">
        <is>
          <t>No</t>
        </is>
      </c>
      <c r="N302" s="2">
        <f>IF(AND($K302="Yes",$L302="Yes",$M302="Yes"),"Yes","No")</f>
        <v/>
      </c>
      <c r="O302" s="2" t="inlineStr"/>
    </row>
    <row r="303">
      <c r="A303" s="2" t="inlineStr">
        <is>
          <t>CARD-00295</t>
        </is>
      </c>
      <c r="B303" s="2" t="inlineStr">
        <is>
          <t>Volt, the Ohmechanic Chocker</t>
        </is>
      </c>
      <c r="C303" s="2" t="inlineStr">
        <is>
          <t>DAEL</t>
        </is>
      </c>
      <c r="D303" s="2" t="inlineStr">
        <is>
          <t>125</t>
        </is>
      </c>
      <c r="E303" s="2" t="inlineStr">
        <is>
          <t>Dawn of the Elements</t>
        </is>
      </c>
      <c r="F303" s="2" t="inlineStr">
        <is>
          <t>Monster</t>
        </is>
      </c>
      <c r="G303" s="2" t="inlineStr">
        <is>
          <t>Thunder / Link / Effect</t>
        </is>
      </c>
      <c r="H303" s="2" t="inlineStr">
        <is>
          <t>Ohmen</t>
        </is>
      </c>
      <c r="I303" s="2" t="inlineStr">
        <is>
          <t>2025-07-22</t>
        </is>
      </c>
      <c r="J303" s="2" t="inlineStr">
        <is>
          <t>/assets/cards/Volt_Link.png</t>
        </is>
      </c>
      <c r="K303" s="2" t="inlineStr">
        <is>
          <t>No</t>
        </is>
      </c>
      <c r="L303" s="2" t="inlineStr">
        <is>
          <t>No</t>
        </is>
      </c>
      <c r="M303" s="2" t="inlineStr">
        <is>
          <t>No</t>
        </is>
      </c>
      <c r="N303" s="2">
        <f>IF(AND($K303="Yes",$L303="Yes",$M303="Yes"),"Yes","No")</f>
        <v/>
      </c>
      <c r="O303" s="2" t="inlineStr"/>
    </row>
    <row r="304">
      <c r="A304" s="2" t="inlineStr">
        <is>
          <t>CARD-00296</t>
        </is>
      </c>
      <c r="B304" s="2" t="inlineStr">
        <is>
          <t>Coulomb, the Ohmechanic Charger</t>
        </is>
      </c>
      <c r="C304" s="2" t="inlineStr">
        <is>
          <t>DAEL</t>
        </is>
      </c>
      <c r="D304" s="2" t="inlineStr">
        <is>
          <t>126</t>
        </is>
      </c>
      <c r="E304" s="2" t="inlineStr">
        <is>
          <t>Dawn of the Elements</t>
        </is>
      </c>
      <c r="F304" s="2" t="inlineStr">
        <is>
          <t>Monster</t>
        </is>
      </c>
      <c r="G304" s="2" t="inlineStr">
        <is>
          <t>Thunder / Link / Effect</t>
        </is>
      </c>
      <c r="H304" s="2" t="inlineStr">
        <is>
          <t>Ohmen</t>
        </is>
      </c>
      <c r="I304" s="2" t="inlineStr">
        <is>
          <t>2025-07-22</t>
        </is>
      </c>
      <c r="J304" s="2" t="inlineStr">
        <is>
          <t>/assets/cards/Coulomb_Link.jpg</t>
        </is>
      </c>
      <c r="K304" s="2" t="inlineStr">
        <is>
          <t>No</t>
        </is>
      </c>
      <c r="L304" s="2" t="inlineStr">
        <is>
          <t>No</t>
        </is>
      </c>
      <c r="M304" s="2" t="inlineStr">
        <is>
          <t>No</t>
        </is>
      </c>
      <c r="N304" s="2">
        <f>IF(AND($K304="Yes",$L304="Yes",$M304="Yes"),"Yes","No")</f>
        <v/>
      </c>
      <c r="O304" s="2" t="inlineStr"/>
    </row>
    <row r="305">
      <c r="A305" s="2" t="inlineStr">
        <is>
          <t>CARD-00297</t>
        </is>
      </c>
      <c r="B305" s="2" t="inlineStr">
        <is>
          <t>Ampere, the Ohmechanic Intensity</t>
        </is>
      </c>
      <c r="C305" s="2" t="inlineStr">
        <is>
          <t>DAEL</t>
        </is>
      </c>
      <c r="D305" s="2" t="inlineStr">
        <is>
          <t>127</t>
        </is>
      </c>
      <c r="E305" s="2" t="inlineStr">
        <is>
          <t>Dawn of the Elements</t>
        </is>
      </c>
      <c r="F305" s="2" t="inlineStr">
        <is>
          <t>Monster</t>
        </is>
      </c>
      <c r="G305" s="2" t="inlineStr">
        <is>
          <t>Thunder / Link / Effect</t>
        </is>
      </c>
      <c r="H305" s="2" t="inlineStr">
        <is>
          <t>Ohmen</t>
        </is>
      </c>
      <c r="I305" s="2" t="inlineStr">
        <is>
          <t>2025-07-22</t>
        </is>
      </c>
      <c r="J305" s="2" t="inlineStr">
        <is>
          <t>/assets/cards/Ampere,_the_Ohmechanic_Intensity.jpeg</t>
        </is>
      </c>
      <c r="K305" s="2" t="inlineStr">
        <is>
          <t>No</t>
        </is>
      </c>
      <c r="L305" s="2" t="inlineStr">
        <is>
          <t>No</t>
        </is>
      </c>
      <c r="M305" s="2" t="inlineStr">
        <is>
          <t>No</t>
        </is>
      </c>
      <c r="N305" s="2">
        <f>IF(AND($K305="Yes",$L305="Yes",$M305="Yes"),"Yes","No")</f>
        <v/>
      </c>
      <c r="O305" s="2" t="inlineStr"/>
    </row>
    <row r="306">
      <c r="A306" s="2" t="inlineStr">
        <is>
          <t>CARD-00298</t>
        </is>
      </c>
      <c r="B306" s="2" t="inlineStr">
        <is>
          <t>Carcel, the Ohmechanic Light</t>
        </is>
      </c>
      <c r="C306" s="2" t="inlineStr">
        <is>
          <t>DAEL</t>
        </is>
      </c>
      <c r="D306" s="2" t="inlineStr">
        <is>
          <t>128</t>
        </is>
      </c>
      <c r="E306" s="2" t="inlineStr">
        <is>
          <t>Dawn of the Elements</t>
        </is>
      </c>
      <c r="F306" s="2" t="inlineStr">
        <is>
          <t>Monster</t>
        </is>
      </c>
      <c r="G306" s="2" t="inlineStr">
        <is>
          <t>Thunder / Link / Effect</t>
        </is>
      </c>
      <c r="H306" s="2" t="inlineStr">
        <is>
          <t>Ohmen</t>
        </is>
      </c>
      <c r="I306" s="2" t="inlineStr">
        <is>
          <t>2025-07-22</t>
        </is>
      </c>
      <c r="J306" s="2" t="inlineStr">
        <is>
          <t>/assets/cards/Carcel_Link.jpg</t>
        </is>
      </c>
      <c r="K306" s="2" t="inlineStr">
        <is>
          <t>No</t>
        </is>
      </c>
      <c r="L306" s="2" t="inlineStr">
        <is>
          <t>No</t>
        </is>
      </c>
      <c r="M306" s="2" t="inlineStr">
        <is>
          <t>No</t>
        </is>
      </c>
      <c r="N306" s="2">
        <f>IF(AND($K306="Yes",$L306="Yes",$M306="Yes"),"Yes","No")</f>
        <v/>
      </c>
      <c r="O306" s="2" t="inlineStr"/>
    </row>
    <row r="307">
      <c r="A307" s="2" t="inlineStr">
        <is>
          <t>CARD-00299</t>
        </is>
      </c>
      <c r="B307" s="2" t="inlineStr">
        <is>
          <t>Ohmen Powerload</t>
        </is>
      </c>
      <c r="C307" s="2" t="inlineStr">
        <is>
          <t>DAEL</t>
        </is>
      </c>
      <c r="D307" s="2" t="inlineStr">
        <is>
          <t>129</t>
        </is>
      </c>
      <c r="E307" s="2" t="inlineStr">
        <is>
          <t>Dawn of the Elements</t>
        </is>
      </c>
      <c r="F307" s="2" t="inlineStr">
        <is>
          <t>Spell</t>
        </is>
      </c>
      <c r="G307" s="2" t="inlineStr">
        <is>
          <t>Spell / Quick-Play</t>
        </is>
      </c>
      <c r="H307" s="2" t="inlineStr">
        <is>
          <t>Ohmen</t>
        </is>
      </c>
      <c r="I307" s="2" t="inlineStr">
        <is>
          <t>2025-07-22</t>
        </is>
      </c>
      <c r="J307" s="2" t="inlineStr">
        <is>
          <t>/assets/cards/Powerload.jpg</t>
        </is>
      </c>
      <c r="K307" s="2" t="inlineStr">
        <is>
          <t>No</t>
        </is>
      </c>
      <c r="L307" s="2" t="inlineStr">
        <is>
          <t>No</t>
        </is>
      </c>
      <c r="M307" s="2" t="inlineStr">
        <is>
          <t>No</t>
        </is>
      </c>
      <c r="N307" s="2">
        <f>IF(AND($K307="Yes",$L307="Yes",$M307="Yes"),"Yes","No")</f>
        <v/>
      </c>
      <c r="O307" s="2" t="inlineStr"/>
    </row>
    <row r="308">
      <c r="A308" s="2" t="inlineStr">
        <is>
          <t>CARD-00300</t>
        </is>
      </c>
      <c r="B308" s="2" t="inlineStr">
        <is>
          <t>Ohmen Beacon</t>
        </is>
      </c>
      <c r="C308" s="2" t="inlineStr">
        <is>
          <t>DAEL</t>
        </is>
      </c>
      <c r="D308" s="2" t="inlineStr">
        <is>
          <t>130</t>
        </is>
      </c>
      <c r="E308" s="2" t="inlineStr">
        <is>
          <t>Dawn of the Elements</t>
        </is>
      </c>
      <c r="F308" s="2" t="inlineStr">
        <is>
          <t>Spell</t>
        </is>
      </c>
      <c r="G308" s="2" t="inlineStr">
        <is>
          <t>Spell / Continuous</t>
        </is>
      </c>
      <c r="H308" s="2" t="inlineStr">
        <is>
          <t>Ohmen</t>
        </is>
      </c>
      <c r="I308" s="2" t="inlineStr">
        <is>
          <t>2025-07-22</t>
        </is>
      </c>
      <c r="J308" s="2" t="inlineStr">
        <is>
          <t>/assets/cards/Beacon.jpg</t>
        </is>
      </c>
      <c r="K308" s="2" t="inlineStr">
        <is>
          <t>No</t>
        </is>
      </c>
      <c r="L308" s="2" t="inlineStr">
        <is>
          <t>No</t>
        </is>
      </c>
      <c r="M308" s="2" t="inlineStr">
        <is>
          <t>No</t>
        </is>
      </c>
      <c r="N308" s="2">
        <f>IF(AND($K308="Yes",$L308="Yes",$M308="Yes"),"Yes","No")</f>
        <v/>
      </c>
      <c r="O308" s="2" t="inlineStr"/>
    </row>
    <row r="309">
      <c r="A309" s="2" t="inlineStr">
        <is>
          <t>CARD-00301</t>
        </is>
      </c>
      <c r="B309" s="2" t="inlineStr">
        <is>
          <t>Altergeist Pipesiren</t>
        </is>
      </c>
      <c r="C309" s="2" t="inlineStr">
        <is>
          <t>DAEL</t>
        </is>
      </c>
      <c r="D309" s="2" t="inlineStr">
        <is>
          <t>131</t>
        </is>
      </c>
      <c r="E309" s="2" t="inlineStr">
        <is>
          <t>Dawn of the Elements</t>
        </is>
      </c>
      <c r="F309" s="2" t="inlineStr">
        <is>
          <t>Monster</t>
        </is>
      </c>
      <c r="G309" s="2" t="inlineStr">
        <is>
          <t>Spellcaster / Effect</t>
        </is>
      </c>
      <c r="H309" s="2" t="inlineStr">
        <is>
          <t>Altergeist</t>
        </is>
      </c>
      <c r="I309" s="2" t="inlineStr">
        <is>
          <t>2025-07-22</t>
        </is>
      </c>
      <c r="J309" s="2" t="inlineStr">
        <is>
          <t>/assets/cards/Altergeist_Pipesiren.jpeg</t>
        </is>
      </c>
      <c r="K309" s="2" t="inlineStr">
        <is>
          <t>No</t>
        </is>
      </c>
      <c r="L309" s="2" t="inlineStr">
        <is>
          <t>No</t>
        </is>
      </c>
      <c r="M309" s="2" t="inlineStr">
        <is>
          <t>No</t>
        </is>
      </c>
      <c r="N309" s="2">
        <f>IF(AND($K309="Yes",$L309="Yes",$M309="Yes"),"Yes","No")</f>
        <v/>
      </c>
      <c r="O309" s="2" t="inlineStr"/>
    </row>
    <row r="310">
      <c r="A310" s="2" t="inlineStr">
        <is>
          <t>CARD-00302</t>
        </is>
      </c>
      <c r="B310" s="2" t="inlineStr">
        <is>
          <t>Altergeist Regissae</t>
        </is>
      </c>
      <c r="C310" s="2" t="inlineStr">
        <is>
          <t>DAEL</t>
        </is>
      </c>
      <c r="D310" s="2" t="inlineStr">
        <is>
          <t>132</t>
        </is>
      </c>
      <c r="E310" s="2" t="inlineStr">
        <is>
          <t>Dawn of the Elements</t>
        </is>
      </c>
      <c r="F310" s="2" t="inlineStr">
        <is>
          <t>Monster</t>
        </is>
      </c>
      <c r="G310" s="2" t="inlineStr">
        <is>
          <t>Spellcaster / Link / Effect</t>
        </is>
      </c>
      <c r="H310" s="2" t="inlineStr">
        <is>
          <t>Altergeist</t>
        </is>
      </c>
      <c r="I310" s="2" t="inlineStr">
        <is>
          <t>2025-07-22</t>
        </is>
      </c>
      <c r="J310" s="2" t="inlineStr">
        <is>
          <t>/assets/cards/Altergeist_Regissae.jpeg</t>
        </is>
      </c>
      <c r="K310" s="2" t="inlineStr">
        <is>
          <t>No</t>
        </is>
      </c>
      <c r="L310" s="2" t="inlineStr">
        <is>
          <t>No</t>
        </is>
      </c>
      <c r="M310" s="2" t="inlineStr">
        <is>
          <t>No</t>
        </is>
      </c>
      <c r="N310" s="2">
        <f>IF(AND($K310="Yes",$L310="Yes",$M310="Yes"),"Yes","No")</f>
        <v/>
      </c>
      <c r="O310" s="2" t="inlineStr"/>
    </row>
    <row r="311">
      <c r="A311" s="2" t="inlineStr">
        <is>
          <t>CARD-00303</t>
        </is>
      </c>
      <c r="B311" s="2" t="inlineStr">
        <is>
          <t>Altergeist Ifritware</t>
        </is>
      </c>
      <c r="C311" s="2" t="inlineStr">
        <is>
          <t>DAEL</t>
        </is>
      </c>
      <c r="D311" s="2" t="inlineStr">
        <is>
          <t>133</t>
        </is>
      </c>
      <c r="E311" s="2" t="inlineStr">
        <is>
          <t>Dawn of the Elements</t>
        </is>
      </c>
      <c r="F311" s="2" t="inlineStr">
        <is>
          <t>Monster</t>
        </is>
      </c>
      <c r="G311" s="2" t="inlineStr">
        <is>
          <t>Spellcaster / Synchro / Effect</t>
        </is>
      </c>
      <c r="H311" s="2" t="inlineStr">
        <is>
          <t>Altergeist</t>
        </is>
      </c>
      <c r="I311" s="2" t="inlineStr">
        <is>
          <t>2025-07-22</t>
        </is>
      </c>
      <c r="J311" s="2" t="inlineStr">
        <is>
          <t>/assets/cards/Altergeist_Ifritware.jpeg</t>
        </is>
      </c>
      <c r="K311" s="2" t="inlineStr">
        <is>
          <t>No</t>
        </is>
      </c>
      <c r="L311" s="2" t="inlineStr">
        <is>
          <t>No</t>
        </is>
      </c>
      <c r="M311" s="2" t="inlineStr">
        <is>
          <t>No</t>
        </is>
      </c>
      <c r="N311" s="2">
        <f>IF(AND($K311="Yes",$L311="Yes",$M311="Yes"),"Yes","No")</f>
        <v/>
      </c>
      <c r="O311" s="2" t="inlineStr"/>
    </row>
    <row r="312">
      <c r="A312" s="2" t="inlineStr">
        <is>
          <t>CARD-00304</t>
        </is>
      </c>
      <c r="B312" s="2" t="inlineStr">
        <is>
          <t>Dragon Protector of Nature</t>
        </is>
      </c>
      <c r="C312" s="2" t="inlineStr">
        <is>
          <t>DAEL</t>
        </is>
      </c>
      <c r="D312" s="2" t="inlineStr">
        <is>
          <t>134</t>
        </is>
      </c>
      <c r="E312" s="2" t="inlineStr">
        <is>
          <t>Dawn of the Elements</t>
        </is>
      </c>
      <c r="F312" s="2" t="inlineStr">
        <is>
          <t>Monster</t>
        </is>
      </c>
      <c r="G312" s="2" t="inlineStr">
        <is>
          <t>Dragon / Synchro / Effect</t>
        </is>
      </c>
      <c r="H312" s="2" t="inlineStr">
        <is>
          <t>NATURE</t>
        </is>
      </c>
      <c r="I312" s="2" t="inlineStr">
        <is>
          <t>2025-07-22</t>
        </is>
      </c>
      <c r="J312" s="2" t="inlineStr">
        <is>
          <t>/assets/cards/Dragon-Protector-of-Nature.jpg</t>
        </is>
      </c>
      <c r="K312" s="2" t="inlineStr">
        <is>
          <t>No</t>
        </is>
      </c>
      <c r="L312" s="2" t="inlineStr">
        <is>
          <t>No</t>
        </is>
      </c>
      <c r="M312" s="2" t="inlineStr">
        <is>
          <t>No</t>
        </is>
      </c>
      <c r="N312" s="2">
        <f>IF(AND($K312="Yes",$L312="Yes",$M312="Yes"),"Yes","No")</f>
        <v/>
      </c>
      <c r="O312" s="2" t="inlineStr"/>
    </row>
    <row r="313">
      <c r="A313" s="2" t="inlineStr">
        <is>
          <t>CARD-00305</t>
        </is>
      </c>
      <c r="B313" s="2" t="inlineStr">
        <is>
          <t>Advent of Cosmic Beings</t>
        </is>
      </c>
      <c r="C313" s="2" t="inlineStr">
        <is>
          <t>DAEL</t>
        </is>
      </c>
      <c r="D313" s="2" t="inlineStr">
        <is>
          <t>135</t>
        </is>
      </c>
      <c r="E313" s="2" t="inlineStr">
        <is>
          <t>Dawn of the Elements</t>
        </is>
      </c>
      <c r="F313" s="2" t="inlineStr">
        <is>
          <t>Spell</t>
        </is>
      </c>
      <c r="G313" s="2" t="inlineStr">
        <is>
          <t>Spell / Normal</t>
        </is>
      </c>
      <c r="H313" s="2" t="inlineStr">
        <is>
          <t>Galaxy</t>
        </is>
      </c>
      <c r="I313" s="2" t="inlineStr">
        <is>
          <t>2025-07-22</t>
        </is>
      </c>
      <c r="J313" s="2" t="inlineStr">
        <is>
          <t>/assets/cards/Advent_of_Cosmic_Beings.jpeg</t>
        </is>
      </c>
      <c r="K313" s="2" t="inlineStr">
        <is>
          <t>No</t>
        </is>
      </c>
      <c r="L313" s="2" t="inlineStr">
        <is>
          <t>No</t>
        </is>
      </c>
      <c r="M313" s="2" t="inlineStr">
        <is>
          <t>No</t>
        </is>
      </c>
      <c r="N313" s="2">
        <f>IF(AND($K313="Yes",$L313="Yes",$M313="Yes"),"Yes","No")</f>
        <v/>
      </c>
      <c r="O313" s="2" t="inlineStr"/>
    </row>
    <row r="314">
      <c r="A314" s="2" t="inlineStr">
        <is>
          <t>CARD-00306</t>
        </is>
      </c>
      <c r="B314" s="2" t="inlineStr">
        <is>
          <t>Transcend the Pendulum</t>
        </is>
      </c>
      <c r="C314" s="2" t="inlineStr">
        <is>
          <t>DAEL</t>
        </is>
      </c>
      <c r="D314" s="2" t="inlineStr">
        <is>
          <t>136</t>
        </is>
      </c>
      <c r="E314" s="2" t="inlineStr">
        <is>
          <t>Dawn of the Elements</t>
        </is>
      </c>
      <c r="F314" s="2" t="inlineStr">
        <is>
          <t>Monster</t>
        </is>
      </c>
      <c r="G314" s="2" t="inlineStr">
        <is>
          <t>Spellcaster / Link / Effect</t>
        </is>
      </c>
      <c r="H314" s="2" t="inlineStr">
        <is>
          <t>Pendulum</t>
        </is>
      </c>
      <c r="I314" s="2" t="inlineStr">
        <is>
          <t>2025-07-22</t>
        </is>
      </c>
      <c r="J314" s="2" t="inlineStr">
        <is>
          <t>/assets/cards/Transcend_the_Pendulum.jpeg</t>
        </is>
      </c>
      <c r="K314" s="2" t="inlineStr">
        <is>
          <t>No</t>
        </is>
      </c>
      <c r="L314" s="2" t="inlineStr">
        <is>
          <t>No</t>
        </is>
      </c>
      <c r="M314" s="2" t="inlineStr">
        <is>
          <t>No</t>
        </is>
      </c>
      <c r="N314" s="2">
        <f>IF(AND($K314="Yes",$L314="Yes",$M314="Yes"),"Yes","No")</f>
        <v/>
      </c>
      <c r="O314" s="2" t="inlineStr"/>
    </row>
    <row r="315">
      <c r="A315" s="2" t="inlineStr">
        <is>
          <t>CARD-00307</t>
        </is>
      </c>
      <c r="B315" s="2" t="inlineStr">
        <is>
          <t>Striking Mirror Force</t>
        </is>
      </c>
      <c r="C315" s="2" t="inlineStr">
        <is>
          <t>DAEL</t>
        </is>
      </c>
      <c r="D315" s="2" t="inlineStr">
        <is>
          <t>137</t>
        </is>
      </c>
      <c r="E315" s="2" t="inlineStr">
        <is>
          <t>Dawn of the Elements</t>
        </is>
      </c>
      <c r="F315" s="2" t="inlineStr">
        <is>
          <t>Trap</t>
        </is>
      </c>
      <c r="G315" s="2" t="inlineStr">
        <is>
          <t>Trap / Normal</t>
        </is>
      </c>
      <c r="H315" s="2" t="inlineStr">
        <is>
          <t>Mirror Force</t>
        </is>
      </c>
      <c r="I315" s="2" t="inlineStr">
        <is>
          <t>2025-07-22</t>
        </is>
      </c>
      <c r="J315" s="2" t="inlineStr">
        <is>
          <t>/assets/cards/Striking_Mirror_Force.jpeg</t>
        </is>
      </c>
      <c r="K315" s="2" t="inlineStr">
        <is>
          <t>No</t>
        </is>
      </c>
      <c r="L315" s="2" t="inlineStr">
        <is>
          <t>No</t>
        </is>
      </c>
      <c r="M315" s="2" t="inlineStr">
        <is>
          <t>No</t>
        </is>
      </c>
      <c r="N315" s="2">
        <f>IF(AND($K315="Yes",$L315="Yes",$M315="Yes"),"Yes","No")</f>
        <v/>
      </c>
      <c r="O315" s="2" t="inlineStr"/>
    </row>
    <row r="316">
      <c r="A316" s="2" t="inlineStr">
        <is>
          <t>CARD-00308</t>
        </is>
      </c>
      <c r="B316" s="2" t="inlineStr">
        <is>
          <t>Rising Elemental</t>
        </is>
      </c>
      <c r="C316" s="2" t="inlineStr">
        <is>
          <t>DAEL</t>
        </is>
      </c>
      <c r="D316" s="2" t="inlineStr">
        <is>
          <t>138</t>
        </is>
      </c>
      <c r="E316" s="2" t="inlineStr">
        <is>
          <t>Dawn of the Elements</t>
        </is>
      </c>
      <c r="F316" s="2" t="inlineStr">
        <is>
          <t>Monster</t>
        </is>
      </c>
      <c r="G316" s="2" t="inlineStr">
        <is>
          <t>Fairy / Synchro / Effect</t>
        </is>
      </c>
      <c r="H316" s="2" t="inlineStr"/>
      <c r="I316" s="2" t="inlineStr">
        <is>
          <t>2025-07-22</t>
        </is>
      </c>
      <c r="J316" s="2" t="inlineStr">
        <is>
          <t>/assets/cards/Rising_Elemental.jpeg</t>
        </is>
      </c>
      <c r="K316" s="2" t="inlineStr">
        <is>
          <t>No</t>
        </is>
      </c>
      <c r="L316" s="2" t="inlineStr">
        <is>
          <t>No</t>
        </is>
      </c>
      <c r="M316" s="2" t="inlineStr">
        <is>
          <t>No</t>
        </is>
      </c>
      <c r="N316" s="2">
        <f>IF(AND($K316="Yes",$L316="Yes",$M316="Yes"),"Yes","No")</f>
        <v/>
      </c>
      <c r="O316" s="2" t="inlineStr"/>
    </row>
    <row r="317">
      <c r="A317" s="2" t="inlineStr">
        <is>
          <t>CARD-00309</t>
        </is>
      </c>
      <c r="B317" s="2" t="inlineStr">
        <is>
          <t>Yummy Kuriboh</t>
        </is>
      </c>
      <c r="C317" s="2" t="inlineStr">
        <is>
          <t>DAEL</t>
        </is>
      </c>
      <c r="D317" s="2" t="inlineStr">
        <is>
          <t>139</t>
        </is>
      </c>
      <c r="E317" s="2" t="inlineStr">
        <is>
          <t>Dawn of the Elements</t>
        </is>
      </c>
      <c r="F317" s="2" t="inlineStr">
        <is>
          <t>Monster</t>
        </is>
      </c>
      <c r="G317" s="2" t="inlineStr">
        <is>
          <t>Fiend / Tuner / Effect</t>
        </is>
      </c>
      <c r="H317" s="2" t="inlineStr">
        <is>
          <t>Kuriboh</t>
        </is>
      </c>
      <c r="I317" s="2" t="inlineStr">
        <is>
          <t>2025-07-22</t>
        </is>
      </c>
      <c r="J317" s="2" t="inlineStr">
        <is>
          <t>/assets/cards/Yummy_Kuriboh.jpeg</t>
        </is>
      </c>
      <c r="K317" s="2" t="inlineStr">
        <is>
          <t>No</t>
        </is>
      </c>
      <c r="L317" s="2" t="inlineStr">
        <is>
          <t>No</t>
        </is>
      </c>
      <c r="M317" s="2" t="inlineStr">
        <is>
          <t>No</t>
        </is>
      </c>
      <c r="N317" s="2">
        <f>IF(AND($K317="Yes",$L317="Yes",$M317="Yes"),"Yes","No")</f>
        <v/>
      </c>
      <c r="O317" s="2" t="inlineStr"/>
    </row>
    <row r="318">
      <c r="A318" s="2" t="inlineStr">
        <is>
          <t>CARD-00310</t>
        </is>
      </c>
      <c r="B318" s="2" t="inlineStr">
        <is>
          <t>Sealed Glyphs Dragon</t>
        </is>
      </c>
      <c r="C318" s="2" t="inlineStr">
        <is>
          <t>DAEL</t>
        </is>
      </c>
      <c r="D318" s="2" t="inlineStr">
        <is>
          <t>140</t>
        </is>
      </c>
      <c r="E318" s="2" t="inlineStr">
        <is>
          <t>Dawn of the Elements</t>
        </is>
      </c>
      <c r="F318" s="2" t="inlineStr">
        <is>
          <t>Monster</t>
        </is>
      </c>
      <c r="G318" s="2" t="inlineStr">
        <is>
          <t>Dragon / Xyz / Effect</t>
        </is>
      </c>
      <c r="H318" s="2" t="inlineStr"/>
      <c r="I318" s="2" t="inlineStr">
        <is>
          <t>2025-07-22</t>
        </is>
      </c>
      <c r="J318" s="2" t="inlineStr">
        <is>
          <t>/assets/cards/Sealed_Glyphs_Dragon.jpeg</t>
        </is>
      </c>
      <c r="K318" s="2" t="inlineStr">
        <is>
          <t>No</t>
        </is>
      </c>
      <c r="L318" s="2" t="inlineStr">
        <is>
          <t>No</t>
        </is>
      </c>
      <c r="M318" s="2" t="inlineStr">
        <is>
          <t>No</t>
        </is>
      </c>
      <c r="N318" s="2">
        <f>IF(AND($K318="Yes",$L318="Yes",$M318="Yes"),"Yes","No")</f>
        <v/>
      </c>
      <c r="O318" s="2" t="inlineStr"/>
    </row>
    <row r="319">
      <c r="A319" s="2" t="inlineStr">
        <is>
          <t>CARD-00311</t>
        </is>
      </c>
      <c r="B319" s="2" t="inlineStr">
        <is>
          <t>Devotee of Fire</t>
        </is>
      </c>
      <c r="C319" s="2" t="inlineStr">
        <is>
          <t>DAEL</t>
        </is>
      </c>
      <c r="D319" s="2" t="inlineStr">
        <is>
          <t>141</t>
        </is>
      </c>
      <c r="E319" s="2" t="inlineStr">
        <is>
          <t>Dawn of the Elements</t>
        </is>
      </c>
      <c r="F319" s="2" t="inlineStr">
        <is>
          <t>Monster</t>
        </is>
      </c>
      <c r="G319" s="2" t="inlineStr">
        <is>
          <t>Pyro / Effect</t>
        </is>
      </c>
      <c r="H319" s="2" t="inlineStr">
        <is>
          <t>Phlogiston Dragon</t>
        </is>
      </c>
      <c r="I319" s="2" t="inlineStr">
        <is>
          <t>2025-07-22</t>
        </is>
      </c>
      <c r="J319" s="2" t="inlineStr">
        <is>
          <t>/assets/cards/Devotee_of_Fire.jpeg</t>
        </is>
      </c>
      <c r="K319" s="2" t="inlineStr">
        <is>
          <t>No</t>
        </is>
      </c>
      <c r="L319" s="2" t="inlineStr">
        <is>
          <t>No</t>
        </is>
      </c>
      <c r="M319" s="2" t="inlineStr">
        <is>
          <t>No</t>
        </is>
      </c>
      <c r="N319" s="2">
        <f>IF(AND($K319="Yes",$L319="Yes",$M319="Yes"),"Yes","No")</f>
        <v/>
      </c>
      <c r="O319" s="2" t="inlineStr"/>
    </row>
    <row r="320">
      <c r="A320" s="2" t="inlineStr">
        <is>
          <t>CARD-00312</t>
        </is>
      </c>
      <c r="B320" s="2" t="inlineStr">
        <is>
          <t>Shaman of Fire</t>
        </is>
      </c>
      <c r="C320" s="2" t="inlineStr">
        <is>
          <t>DAEL</t>
        </is>
      </c>
      <c r="D320" s="2" t="inlineStr">
        <is>
          <t>142</t>
        </is>
      </c>
      <c r="E320" s="2" t="inlineStr">
        <is>
          <t>Dawn of the Elements</t>
        </is>
      </c>
      <c r="F320" s="2" t="inlineStr">
        <is>
          <t>Monster</t>
        </is>
      </c>
      <c r="G320" s="2" t="inlineStr">
        <is>
          <t>Beast-Warrior / Effect</t>
        </is>
      </c>
      <c r="H320" s="2" t="inlineStr">
        <is>
          <t>Phlogiston Dragon</t>
        </is>
      </c>
      <c r="I320" s="2" t="inlineStr">
        <is>
          <t>2025-07-22</t>
        </is>
      </c>
      <c r="J320" s="2" t="inlineStr">
        <is>
          <t>/assets/cards/Shaman_of_Fire.jpeg</t>
        </is>
      </c>
      <c r="K320" s="2" t="inlineStr">
        <is>
          <t>No</t>
        </is>
      </c>
      <c r="L320" s="2" t="inlineStr">
        <is>
          <t>No</t>
        </is>
      </c>
      <c r="M320" s="2" t="inlineStr">
        <is>
          <t>No</t>
        </is>
      </c>
      <c r="N320" s="2">
        <f>IF(AND($K320="Yes",$L320="Yes",$M320="Yes"),"Yes","No")</f>
        <v/>
      </c>
      <c r="O320" s="2" t="inlineStr"/>
    </row>
    <row r="321">
      <c r="A321" s="2" t="inlineStr">
        <is>
          <t>CARD-00313</t>
        </is>
      </c>
      <c r="B321" s="2" t="inlineStr">
        <is>
          <t>Guardian of Fire</t>
        </is>
      </c>
      <c r="C321" s="2" t="inlineStr">
        <is>
          <t>DAEL</t>
        </is>
      </c>
      <c r="D321" s="2" t="inlineStr">
        <is>
          <t>143</t>
        </is>
      </c>
      <c r="E321" s="2" t="inlineStr">
        <is>
          <t>Dawn of the Elements</t>
        </is>
      </c>
      <c r="F321" s="2" t="inlineStr">
        <is>
          <t>Monster</t>
        </is>
      </c>
      <c r="G321" s="2" t="inlineStr">
        <is>
          <t>Warrior / Effect</t>
        </is>
      </c>
      <c r="H321" s="2" t="inlineStr">
        <is>
          <t>Phlogiston Dragon</t>
        </is>
      </c>
      <c r="I321" s="2" t="inlineStr">
        <is>
          <t>2025-07-22</t>
        </is>
      </c>
      <c r="J321" s="2" t="inlineStr">
        <is>
          <t>/assets/cards/Guardian_of_Fire.jpeg</t>
        </is>
      </c>
      <c r="K321" s="2" t="inlineStr">
        <is>
          <t>No</t>
        </is>
      </c>
      <c r="L321" s="2" t="inlineStr">
        <is>
          <t>No</t>
        </is>
      </c>
      <c r="M321" s="2" t="inlineStr">
        <is>
          <t>No</t>
        </is>
      </c>
      <c r="N321" s="2">
        <f>IF(AND($K321="Yes",$L321="Yes",$M321="Yes"),"Yes","No")</f>
        <v/>
      </c>
      <c r="O321" s="2" t="inlineStr"/>
    </row>
    <row r="322">
      <c r="A322" s="2" t="inlineStr">
        <is>
          <t>CARD-00314</t>
        </is>
      </c>
      <c r="B322" s="2" t="inlineStr">
        <is>
          <t>Phlogistic Uprising!</t>
        </is>
      </c>
      <c r="C322" s="2" t="inlineStr">
        <is>
          <t>DAEL</t>
        </is>
      </c>
      <c r="D322" s="2" t="inlineStr">
        <is>
          <t>144</t>
        </is>
      </c>
      <c r="E322" s="2" t="inlineStr">
        <is>
          <t>Dawn of the Elements</t>
        </is>
      </c>
      <c r="F322" s="2" t="inlineStr">
        <is>
          <t>Spell</t>
        </is>
      </c>
      <c r="G322" s="2" t="inlineStr">
        <is>
          <t>Spell / Normal</t>
        </is>
      </c>
      <c r="H322" s="2" t="inlineStr">
        <is>
          <t>Phlogiston Dragon</t>
        </is>
      </c>
      <c r="I322" s="2" t="inlineStr">
        <is>
          <t>2025-07-22</t>
        </is>
      </c>
      <c r="J322" s="2" t="inlineStr">
        <is>
          <t>/assets/cards/Phlogistic_Uprising.jpeg</t>
        </is>
      </c>
      <c r="K322" s="2" t="inlineStr">
        <is>
          <t>No</t>
        </is>
      </c>
      <c r="L322" s="2" t="inlineStr">
        <is>
          <t>No</t>
        </is>
      </c>
      <c r="M322" s="2" t="inlineStr">
        <is>
          <t>No</t>
        </is>
      </c>
      <c r="N322" s="2">
        <f>IF(AND($K322="Yes",$L322="Yes",$M322="Yes"),"Yes","No")</f>
        <v/>
      </c>
      <c r="O322" s="2" t="inlineStr"/>
    </row>
    <row r="323">
      <c r="A323" s="2" t="inlineStr">
        <is>
          <t>CARD-00315</t>
        </is>
      </c>
      <c r="B323" s="2" t="inlineStr">
        <is>
          <t>Phlogistic Ignition</t>
        </is>
      </c>
      <c r="C323" s="2" t="inlineStr">
        <is>
          <t>DAEL</t>
        </is>
      </c>
      <c r="D323" s="2" t="inlineStr">
        <is>
          <t>145</t>
        </is>
      </c>
      <c r="E323" s="2" t="inlineStr">
        <is>
          <t>Dawn of the Elements</t>
        </is>
      </c>
      <c r="F323" s="2" t="inlineStr">
        <is>
          <t>Spell</t>
        </is>
      </c>
      <c r="G323" s="2" t="inlineStr">
        <is>
          <t>Spell / Normal</t>
        </is>
      </c>
      <c r="H323" s="2" t="inlineStr">
        <is>
          <t>Phlogiston Dragon</t>
        </is>
      </c>
      <c r="I323" s="2" t="inlineStr">
        <is>
          <t>2025-07-22</t>
        </is>
      </c>
      <c r="J323" s="2" t="inlineStr">
        <is>
          <t>/assets/cards/Phlogistic_Ignition.jpeg</t>
        </is>
      </c>
      <c r="K323" s="2" t="inlineStr">
        <is>
          <t>No</t>
        </is>
      </c>
      <c r="L323" s="2" t="inlineStr">
        <is>
          <t>No</t>
        </is>
      </c>
      <c r="M323" s="2" t="inlineStr">
        <is>
          <t>No</t>
        </is>
      </c>
      <c r="N323" s="2">
        <f>IF(AND($K323="Yes",$L323="Yes",$M323="Yes"),"Yes","No")</f>
        <v/>
      </c>
      <c r="O323" s="2" t="inlineStr"/>
    </row>
    <row r="324">
      <c r="A324" s="2" t="inlineStr">
        <is>
          <t>CARD-00316</t>
        </is>
      </c>
      <c r="B324" s="2" t="inlineStr">
        <is>
          <t>Phlogiston's Wake</t>
        </is>
      </c>
      <c r="C324" s="2" t="inlineStr">
        <is>
          <t>DAEL</t>
        </is>
      </c>
      <c r="D324" s="2" t="inlineStr">
        <is>
          <t>146</t>
        </is>
      </c>
      <c r="E324" s="2" t="inlineStr">
        <is>
          <t>Dawn of the Elements</t>
        </is>
      </c>
      <c r="F324" s="2" t="inlineStr">
        <is>
          <t>Trap</t>
        </is>
      </c>
      <c r="G324" s="2" t="inlineStr">
        <is>
          <t>Trap / Normal</t>
        </is>
      </c>
      <c r="H324" s="2" t="inlineStr">
        <is>
          <t>Phlogiston Dragon</t>
        </is>
      </c>
      <c r="I324" s="2" t="inlineStr">
        <is>
          <t>2025-07-22</t>
        </is>
      </c>
      <c r="J324" s="2" t="inlineStr">
        <is>
          <t>/assets/cards/Phlogistons_Wake.jpeg</t>
        </is>
      </c>
      <c r="K324" s="2" t="inlineStr">
        <is>
          <t>No</t>
        </is>
      </c>
      <c r="L324" s="2" t="inlineStr">
        <is>
          <t>No</t>
        </is>
      </c>
      <c r="M324" s="2" t="inlineStr">
        <is>
          <t>No</t>
        </is>
      </c>
      <c r="N324" s="2">
        <f>IF(AND($K324="Yes",$L324="Yes",$M324="Yes"),"Yes","No")</f>
        <v/>
      </c>
      <c r="O324" s="2" t="inlineStr"/>
    </row>
    <row r="325">
      <c r="A325" s="2" t="inlineStr">
        <is>
          <t>CARD-00317</t>
        </is>
      </c>
      <c r="B325" s="2" t="inlineStr">
        <is>
          <t>Phlogiston Dragon</t>
        </is>
      </c>
      <c r="C325" s="2" t="inlineStr">
        <is>
          <t>DAEL</t>
        </is>
      </c>
      <c r="D325" s="2" t="inlineStr">
        <is>
          <t>147</t>
        </is>
      </c>
      <c r="E325" s="2" t="inlineStr">
        <is>
          <t>Dawn of the Elements</t>
        </is>
      </c>
      <c r="F325" s="2" t="inlineStr">
        <is>
          <t>Monster</t>
        </is>
      </c>
      <c r="G325" s="2" t="inlineStr">
        <is>
          <t>Dragon / Fusion / Effect</t>
        </is>
      </c>
      <c r="H325" s="2" t="inlineStr">
        <is>
          <t>Phlogiston Dragon</t>
        </is>
      </c>
      <c r="I325" s="2" t="inlineStr">
        <is>
          <t>2025-07-22</t>
        </is>
      </c>
      <c r="J325" s="2" t="inlineStr">
        <is>
          <t>/assets/cards/Phlogiston_Dragon.jpeg</t>
        </is>
      </c>
      <c r="K325" s="2" t="inlineStr">
        <is>
          <t>No</t>
        </is>
      </c>
      <c r="L325" s="2" t="inlineStr">
        <is>
          <t>No</t>
        </is>
      </c>
      <c r="M325" s="2" t="inlineStr">
        <is>
          <t>No</t>
        </is>
      </c>
      <c r="N325" s="2">
        <f>IF(AND($K325="Yes",$L325="Yes",$M325="Yes"),"Yes","No")</f>
        <v/>
      </c>
      <c r="O325" s="2" t="inlineStr"/>
    </row>
    <row r="326">
      <c r="A326" s="2" t="inlineStr">
        <is>
          <t>CARD-00318</t>
        </is>
      </c>
      <c r="B326" s="2" t="inlineStr">
        <is>
          <t>Phlogistic Scorching Dragon Horde</t>
        </is>
      </c>
      <c r="C326" s="2" t="inlineStr">
        <is>
          <t>DAEL</t>
        </is>
      </c>
      <c r="D326" s="2" t="inlineStr">
        <is>
          <t>148</t>
        </is>
      </c>
      <c r="E326" s="2" t="inlineStr">
        <is>
          <t>Dawn of the Elements</t>
        </is>
      </c>
      <c r="F326" s="2" t="inlineStr">
        <is>
          <t>Monster</t>
        </is>
      </c>
      <c r="G326" s="2" t="inlineStr">
        <is>
          <t>Dragon / Fusion / Effect</t>
        </is>
      </c>
      <c r="H326" s="2" t="inlineStr">
        <is>
          <t>Phlogiston Dragon</t>
        </is>
      </c>
      <c r="I326" s="2" t="inlineStr">
        <is>
          <t>2025-07-22</t>
        </is>
      </c>
      <c r="J326" s="2" t="inlineStr">
        <is>
          <t>/assets/cards/Phlogistic_Scorching_Dragon_Horde.jpeg</t>
        </is>
      </c>
      <c r="K326" s="2" t="inlineStr">
        <is>
          <t>No</t>
        </is>
      </c>
      <c r="L326" s="2" t="inlineStr">
        <is>
          <t>No</t>
        </is>
      </c>
      <c r="M326" s="2" t="inlineStr">
        <is>
          <t>No</t>
        </is>
      </c>
      <c r="N326" s="2">
        <f>IF(AND($K326="Yes",$L326="Yes",$M326="Yes"),"Yes","No")</f>
        <v/>
      </c>
      <c r="O326" s="2" t="inlineStr"/>
    </row>
    <row r="327">
      <c r="A327" s="2" t="inlineStr">
        <is>
          <t>CARD-00319</t>
        </is>
      </c>
      <c r="B327" s="2" t="inlineStr">
        <is>
          <t>CURRYBOH</t>
        </is>
      </c>
      <c r="C327" s="2" t="inlineStr">
        <is>
          <t>CHST</t>
        </is>
      </c>
      <c r="D327" s="2" t="inlineStr">
        <is>
          <t>001</t>
        </is>
      </c>
      <c r="E327" s="2" t="inlineStr">
        <is>
          <t>Chronicles of the Starborn</t>
        </is>
      </c>
      <c r="F327" s="2" t="inlineStr">
        <is>
          <t>Monster</t>
        </is>
      </c>
      <c r="G327" s="2" t="inlineStr">
        <is>
          <t>Plant / Effect</t>
        </is>
      </c>
      <c r="H327" s="2" t="inlineStr"/>
      <c r="I327" s="2" t="inlineStr">
        <is>
          <t>2025-11-19</t>
        </is>
      </c>
      <c r="J327" s="2" t="inlineStr">
        <is>
          <t>/assets/cards/Curryboh.jpeg</t>
        </is>
      </c>
      <c r="K327" s="2" t="inlineStr">
        <is>
          <t>No</t>
        </is>
      </c>
      <c r="L327" s="2" t="inlineStr">
        <is>
          <t>No</t>
        </is>
      </c>
      <c r="M327" s="2" t="inlineStr">
        <is>
          <t>No</t>
        </is>
      </c>
      <c r="N327" s="2">
        <f>IF(AND($K327="Yes",$L327="Yes",$M327="Yes"),"Yes","No")</f>
        <v/>
      </c>
      <c r="O327" s="2" t="inlineStr"/>
    </row>
    <row r="328">
      <c r="A328" s="2" t="inlineStr">
        <is>
          <t>CARD-00320</t>
        </is>
      </c>
      <c r="B328" s="2" t="inlineStr">
        <is>
          <t>STARRY KNIGHT ARC-EN-CIEL</t>
        </is>
      </c>
      <c r="C328" s="2" t="inlineStr">
        <is>
          <t>CHST</t>
        </is>
      </c>
      <c r="D328" s="2" t="inlineStr">
        <is>
          <t>002</t>
        </is>
      </c>
      <c r="E328" s="2" t="inlineStr">
        <is>
          <t>Chronicles of the Starborn</t>
        </is>
      </c>
      <c r="F328" s="2" t="inlineStr">
        <is>
          <t>Monster</t>
        </is>
      </c>
      <c r="G328" s="2" t="inlineStr">
        <is>
          <t>Fairy / Effect</t>
        </is>
      </c>
      <c r="H328" s="2" t="inlineStr">
        <is>
          <t>Starry Knight</t>
        </is>
      </c>
      <c r="I328" s="2" t="inlineStr">
        <is>
          <t>2025-11-19</t>
        </is>
      </c>
      <c r="J328" s="2" t="inlineStr">
        <is>
          <t>/assets/cards/Starry_Knight_Arc-En-Ciel.jpeg</t>
        </is>
      </c>
      <c r="K328" s="2" t="inlineStr">
        <is>
          <t>No</t>
        </is>
      </c>
      <c r="L328" s="2" t="inlineStr">
        <is>
          <t>No</t>
        </is>
      </c>
      <c r="M328" s="2" t="inlineStr">
        <is>
          <t>No</t>
        </is>
      </c>
      <c r="N328" s="2">
        <f>IF(AND($K328="Yes",$L328="Yes",$M328="Yes"),"Yes","No")</f>
        <v/>
      </c>
      <c r="O328" s="2" t="inlineStr"/>
    </row>
    <row r="329">
      <c r="A329" s="2" t="inlineStr">
        <is>
          <t>CARD-00321</t>
        </is>
      </c>
      <c r="B329" s="2" t="inlineStr">
        <is>
          <t>STARRY KNIGHT NEBRIEL</t>
        </is>
      </c>
      <c r="C329" s="2" t="inlineStr">
        <is>
          <t>CHST</t>
        </is>
      </c>
      <c r="D329" s="2" t="inlineStr">
        <is>
          <t>003</t>
        </is>
      </c>
      <c r="E329" s="2" t="inlineStr">
        <is>
          <t>Chronicles of the Starborn</t>
        </is>
      </c>
      <c r="F329" s="2" t="inlineStr">
        <is>
          <t>Monster</t>
        </is>
      </c>
      <c r="G329" s="2" t="inlineStr">
        <is>
          <t>Fairy / Effect</t>
        </is>
      </c>
      <c r="H329" s="2" t="inlineStr">
        <is>
          <t>Starry Knight</t>
        </is>
      </c>
      <c r="I329" s="2" t="inlineStr">
        <is>
          <t>2025-11-19</t>
        </is>
      </c>
      <c r="J329" s="2" t="inlineStr">
        <is>
          <t>/assets/cards/Starry_Knight_Nebriel.jpeg</t>
        </is>
      </c>
      <c r="K329" s="2" t="inlineStr">
        <is>
          <t>No</t>
        </is>
      </c>
      <c r="L329" s="2" t="inlineStr">
        <is>
          <t>No</t>
        </is>
      </c>
      <c r="M329" s="2" t="inlineStr">
        <is>
          <t>No</t>
        </is>
      </c>
      <c r="N329" s="2">
        <f>IF(AND($K329="Yes",$L329="Yes",$M329="Yes"),"Yes","No")</f>
        <v/>
      </c>
      <c r="O329" s="2" t="inlineStr"/>
    </row>
    <row r="330">
      <c r="A330" s="2" t="inlineStr">
        <is>
          <t>CARD-00322</t>
        </is>
      </c>
      <c r="B330" s="2" t="inlineStr">
        <is>
          <t>STARRY KNIGHT STARRY QUEEN</t>
        </is>
      </c>
      <c r="C330" s="2" t="inlineStr">
        <is>
          <t>CHST</t>
        </is>
      </c>
      <c r="D330" s="2" t="inlineStr">
        <is>
          <t>004</t>
        </is>
      </c>
      <c r="E330" s="2" t="inlineStr">
        <is>
          <t>Chronicles of the Starborn</t>
        </is>
      </c>
      <c r="F330" s="2" t="inlineStr">
        <is>
          <t>Monster</t>
        </is>
      </c>
      <c r="G330" s="2" t="inlineStr">
        <is>
          <t>Dragon / Pendulum / Effect</t>
        </is>
      </c>
      <c r="H330" s="2" t="inlineStr">
        <is>
          <t>Starry Knight</t>
        </is>
      </c>
      <c r="I330" s="2" t="inlineStr">
        <is>
          <t>2025-11-19</t>
        </is>
      </c>
      <c r="J330" s="2" t="inlineStr">
        <is>
          <t>/assets/cards/Starry_Knight_Starry_Queen_2.jpeg</t>
        </is>
      </c>
      <c r="K330" s="2" t="inlineStr">
        <is>
          <t>No</t>
        </is>
      </c>
      <c r="L330" s="2" t="inlineStr">
        <is>
          <t>No</t>
        </is>
      </c>
      <c r="M330" s="2" t="inlineStr">
        <is>
          <t>No</t>
        </is>
      </c>
      <c r="N330" s="2">
        <f>IF(AND($K330="Yes",$L330="Yes",$M330="Yes"),"Yes","No")</f>
        <v/>
      </c>
      <c r="O330" s="2" t="inlineStr"/>
    </row>
    <row r="331">
      <c r="A331" s="2" t="inlineStr">
        <is>
          <t>CARD-00323</t>
        </is>
      </c>
      <c r="B331" s="2" t="inlineStr">
        <is>
          <t>CHAMROSHES' AEGIS</t>
        </is>
      </c>
      <c r="C331" s="2" t="inlineStr">
        <is>
          <t>CHST</t>
        </is>
      </c>
      <c r="D331" s="2" t="inlineStr">
        <is>
          <t>005</t>
        </is>
      </c>
      <c r="E331" s="2" t="inlineStr">
        <is>
          <t>Chronicles of the Starborn</t>
        </is>
      </c>
      <c r="F331" s="2" t="inlineStr">
        <is>
          <t>Monster</t>
        </is>
      </c>
      <c r="G331" s="2" t="inlineStr">
        <is>
          <t>Psychic / Fusion / Tuner / Effect</t>
        </is>
      </c>
      <c r="H331" s="2" t="inlineStr"/>
      <c r="I331" s="2" t="inlineStr">
        <is>
          <t>2025-11-19</t>
        </is>
      </c>
      <c r="J331" s="2" t="inlineStr">
        <is>
          <t>/assets/cards/Chamroshes_Aegis_1.jpeg</t>
        </is>
      </c>
      <c r="K331" s="2" t="inlineStr">
        <is>
          <t>No</t>
        </is>
      </c>
      <c r="L331" s="2" t="inlineStr">
        <is>
          <t>No</t>
        </is>
      </c>
      <c r="M331" s="2" t="inlineStr">
        <is>
          <t>No</t>
        </is>
      </c>
      <c r="N331" s="2">
        <f>IF(AND($K331="Yes",$L331="Yes",$M331="Yes"),"Yes","No")</f>
        <v/>
      </c>
      <c r="O331" s="2" t="inlineStr"/>
    </row>
    <row r="332">
      <c r="A332" s="2" t="inlineStr">
        <is>
          <t>CARD-00324</t>
        </is>
      </c>
      <c r="B332" s="2" t="inlineStr">
        <is>
          <t>GAIA, THE IRON CLAD KNIGHT</t>
        </is>
      </c>
      <c r="C332" s="2" t="inlineStr">
        <is>
          <t>CHST</t>
        </is>
      </c>
      <c r="D332" s="2" t="inlineStr">
        <is>
          <t>006</t>
        </is>
      </c>
      <c r="E332" s="2" t="inlineStr">
        <is>
          <t>Chronicles of the Starborn</t>
        </is>
      </c>
      <c r="F332" s="2" t="inlineStr">
        <is>
          <t>Monster</t>
        </is>
      </c>
      <c r="G332" s="2" t="inlineStr">
        <is>
          <t>Warrior / Effect</t>
        </is>
      </c>
      <c r="H332" s="2" t="inlineStr">
        <is>
          <t>Gaia</t>
        </is>
      </c>
      <c r="I332" s="2" t="inlineStr">
        <is>
          <t>2025-11-19</t>
        </is>
      </c>
      <c r="J332" s="2" t="inlineStr">
        <is>
          <t>/assets/cards/Gaia_the_Iron_Clad_Knight.jpeg</t>
        </is>
      </c>
      <c r="K332" s="2" t="inlineStr">
        <is>
          <t>No</t>
        </is>
      </c>
      <c r="L332" s="2" t="inlineStr">
        <is>
          <t>No</t>
        </is>
      </c>
      <c r="M332" s="2" t="inlineStr">
        <is>
          <t>No</t>
        </is>
      </c>
      <c r="N332" s="2">
        <f>IF(AND($K332="Yes",$L332="Yes",$M332="Yes"),"Yes","No")</f>
        <v/>
      </c>
      <c r="O332" s="2" t="inlineStr"/>
    </row>
    <row r="333">
      <c r="A333" s="2" t="inlineStr">
        <is>
          <t>CARD-00325</t>
        </is>
      </c>
      <c r="B333" s="2" t="inlineStr">
        <is>
          <t>CURSED DRAGON OF THE KNIGHT</t>
        </is>
      </c>
      <c r="C333" s="2" t="inlineStr">
        <is>
          <t>CHST</t>
        </is>
      </c>
      <c r="D333" s="2" t="inlineStr">
        <is>
          <t>007</t>
        </is>
      </c>
      <c r="E333" s="2" t="inlineStr">
        <is>
          <t>Chronicles of the Starborn</t>
        </is>
      </c>
      <c r="F333" s="2" t="inlineStr">
        <is>
          <t>Monster</t>
        </is>
      </c>
      <c r="G333" s="2" t="inlineStr">
        <is>
          <t>Dragon / Effect</t>
        </is>
      </c>
      <c r="H333" s="2" t="inlineStr">
        <is>
          <t>Gaia</t>
        </is>
      </c>
      <c r="I333" s="2" t="inlineStr">
        <is>
          <t>2025-11-19</t>
        </is>
      </c>
      <c r="J333" s="2" t="inlineStr">
        <is>
          <t>/assets/cards/Cursed_Dragon_of_the_Knight.jpeg</t>
        </is>
      </c>
      <c r="K333" s="2" t="inlineStr">
        <is>
          <t>No</t>
        </is>
      </c>
      <c r="L333" s="2" t="inlineStr">
        <is>
          <t>No</t>
        </is>
      </c>
      <c r="M333" s="2" t="inlineStr">
        <is>
          <t>No</t>
        </is>
      </c>
      <c r="N333" s="2">
        <f>IF(AND($K333="Yes",$L333="Yes",$M333="Yes"),"Yes","No")</f>
        <v/>
      </c>
      <c r="O333" s="2" t="inlineStr"/>
    </row>
    <row r="334">
      <c r="A334" s="2" t="inlineStr">
        <is>
          <t>CARD-00326</t>
        </is>
      </c>
      <c r="B334" s="2" t="inlineStr">
        <is>
          <t>GAIA THE MAGNIFICENT KNIGHT</t>
        </is>
      </c>
      <c r="C334" s="2" t="inlineStr">
        <is>
          <t>CHST</t>
        </is>
      </c>
      <c r="D334" s="2" t="inlineStr">
        <is>
          <t>008</t>
        </is>
      </c>
      <c r="E334" s="2" t="inlineStr">
        <is>
          <t>Chronicles of the Starborn</t>
        </is>
      </c>
      <c r="F334" s="2" t="inlineStr">
        <is>
          <t>Monster</t>
        </is>
      </c>
      <c r="G334" s="2" t="inlineStr">
        <is>
          <t>Warrior / Effect</t>
        </is>
      </c>
      <c r="H334" s="2" t="inlineStr">
        <is>
          <t>Gaia</t>
        </is>
      </c>
      <c r="I334" s="2" t="inlineStr">
        <is>
          <t>2025-11-19</t>
        </is>
      </c>
      <c r="J334" s="2" t="inlineStr">
        <is>
          <t>/assets/cards/Gaia_the_Magnificent_Knight_2.jpeg</t>
        </is>
      </c>
      <c r="K334" s="2" t="inlineStr">
        <is>
          <t>No</t>
        </is>
      </c>
      <c r="L334" s="2" t="inlineStr">
        <is>
          <t>No</t>
        </is>
      </c>
      <c r="M334" s="2" t="inlineStr">
        <is>
          <t>No</t>
        </is>
      </c>
      <c r="N334" s="2">
        <f>IF(AND($K334="Yes",$L334="Yes",$M334="Yes"),"Yes","No")</f>
        <v/>
      </c>
      <c r="O334" s="2" t="inlineStr"/>
    </row>
    <row r="335">
      <c r="A335" s="2" t="inlineStr">
        <is>
          <t>CARD-00327</t>
        </is>
      </c>
      <c r="B335" s="2" t="inlineStr">
        <is>
          <t>BLAZING GAIA THE SPIRAL KNIGHT</t>
        </is>
      </c>
      <c r="C335" s="2" t="inlineStr">
        <is>
          <t>CHST</t>
        </is>
      </c>
      <c r="D335" s="2" t="inlineStr">
        <is>
          <t>009</t>
        </is>
      </c>
      <c r="E335" s="2" t="inlineStr">
        <is>
          <t>Chronicles of the Starborn</t>
        </is>
      </c>
      <c r="F335" s="2" t="inlineStr">
        <is>
          <t>Monster</t>
        </is>
      </c>
      <c r="G335" s="2" t="inlineStr">
        <is>
          <t>Dragon / Fusion / Effect</t>
        </is>
      </c>
      <c r="H335" s="2" t="inlineStr">
        <is>
          <t>Gaia</t>
        </is>
      </c>
      <c r="I335" s="2" t="inlineStr">
        <is>
          <t>2025-11-19</t>
        </is>
      </c>
      <c r="J335" s="2" t="inlineStr">
        <is>
          <t>/assets/cards/Blazing_Gaia_the_Spiral_Knight_2.jpeg</t>
        </is>
      </c>
      <c r="K335" s="2" t="inlineStr">
        <is>
          <t>No</t>
        </is>
      </c>
      <c r="L335" s="2" t="inlineStr">
        <is>
          <t>No</t>
        </is>
      </c>
      <c r="M335" s="2" t="inlineStr">
        <is>
          <t>No</t>
        </is>
      </c>
      <c r="N335" s="2">
        <f>IF(AND($K335="Yes",$L335="Yes",$M335="Yes"),"Yes","No")</f>
        <v/>
      </c>
      <c r="O335" s="2" t="inlineStr"/>
    </row>
    <row r="336">
      <c r="A336" s="2" t="inlineStr">
        <is>
          <t>CARD-00328</t>
        </is>
      </c>
      <c r="B336" s="2" t="inlineStr">
        <is>
          <t>DYNATOS, THE CHALLENGER</t>
        </is>
      </c>
      <c r="C336" s="2" t="inlineStr">
        <is>
          <t>CHST</t>
        </is>
      </c>
      <c r="D336" s="2" t="inlineStr">
        <is>
          <t>010</t>
        </is>
      </c>
      <c r="E336" s="2" t="inlineStr">
        <is>
          <t>Chronicles of the Starborn</t>
        </is>
      </c>
      <c r="F336" s="2" t="inlineStr">
        <is>
          <t>Monster</t>
        </is>
      </c>
      <c r="G336" s="2" t="inlineStr">
        <is>
          <t>Celestial Warrior / Effect</t>
        </is>
      </c>
      <c r="H336" s="2" t="inlineStr">
        <is>
          <t>Ataxia</t>
        </is>
      </c>
      <c r="I336" s="2" t="inlineStr">
        <is>
          <t>2025-11-19</t>
        </is>
      </c>
      <c r="J336" s="2" t="inlineStr">
        <is>
          <t>/assets/cards/Dynatos_the_Challenger_3.jpeg</t>
        </is>
      </c>
      <c r="K336" s="2" t="inlineStr">
        <is>
          <t>No</t>
        </is>
      </c>
      <c r="L336" s="2" t="inlineStr">
        <is>
          <t>No</t>
        </is>
      </c>
      <c r="M336" s="2" t="inlineStr">
        <is>
          <t>No</t>
        </is>
      </c>
      <c r="N336" s="2">
        <f>IF(AND($K336="Yes",$L336="Yes",$M336="Yes"),"Yes","No")</f>
        <v/>
      </c>
      <c r="O336" s="2" t="inlineStr"/>
    </row>
    <row r="337">
      <c r="A337" s="2" t="inlineStr">
        <is>
          <t>CARD-00329</t>
        </is>
      </c>
      <c r="B337" s="2" t="inlineStr">
        <is>
          <t>ARCKCESTIAL CRYSTAL SHARDS</t>
        </is>
      </c>
      <c r="C337" s="2" t="inlineStr">
        <is>
          <t>CHST</t>
        </is>
      </c>
      <c r="D337" s="2" t="inlineStr">
        <is>
          <t>011</t>
        </is>
      </c>
      <c r="E337" s="2" t="inlineStr">
        <is>
          <t>Chronicles of the Starborn</t>
        </is>
      </c>
      <c r="F337" s="2" t="inlineStr">
        <is>
          <t>Monster</t>
        </is>
      </c>
      <c r="G337" s="2" t="inlineStr">
        <is>
          <t>Spellcaster / Effect</t>
        </is>
      </c>
      <c r="H337" s="2" t="inlineStr">
        <is>
          <t>Arckcestial</t>
        </is>
      </c>
      <c r="I337" s="2" t="inlineStr">
        <is>
          <t>2025-11-19</t>
        </is>
      </c>
      <c r="J337" s="2" t="inlineStr">
        <is>
          <t>/assets/cards/Arckcestial_Crystal_Shards.jpeg</t>
        </is>
      </c>
      <c r="K337" s="2" t="inlineStr">
        <is>
          <t>No</t>
        </is>
      </c>
      <c r="L337" s="2" t="inlineStr">
        <is>
          <t>No</t>
        </is>
      </c>
      <c r="M337" s="2" t="inlineStr">
        <is>
          <t>No</t>
        </is>
      </c>
      <c r="N337" s="2">
        <f>IF(AND($K337="Yes",$L337="Yes",$M337="Yes"),"Yes","No")</f>
        <v/>
      </c>
      <c r="O337" s="2" t="inlineStr"/>
    </row>
    <row r="338">
      <c r="A338" s="2" t="inlineStr">
        <is>
          <t>CARD-00330</t>
        </is>
      </c>
      <c r="B338" s="2" t="inlineStr">
        <is>
          <t>ARCKCESTIAL FEATHER</t>
        </is>
      </c>
      <c r="C338" s="2" t="inlineStr">
        <is>
          <t>CHST</t>
        </is>
      </c>
      <c r="D338" s="2" t="inlineStr">
        <is>
          <t>012</t>
        </is>
      </c>
      <c r="E338" s="2" t="inlineStr">
        <is>
          <t>Chronicles of the Starborn</t>
        </is>
      </c>
      <c r="F338" s="2" t="inlineStr">
        <is>
          <t>Monster</t>
        </is>
      </c>
      <c r="G338" s="2" t="inlineStr">
        <is>
          <t>Spellcaster / Tuner / Effect</t>
        </is>
      </c>
      <c r="H338" s="2" t="inlineStr">
        <is>
          <t>Arckcestial</t>
        </is>
      </c>
      <c r="I338" s="2" t="inlineStr">
        <is>
          <t>2025-11-19</t>
        </is>
      </c>
      <c r="J338" s="2" t="inlineStr">
        <is>
          <t>/assets/cards/Arckcestial_Feather.jpeg</t>
        </is>
      </c>
      <c r="K338" s="2" t="inlineStr">
        <is>
          <t>No</t>
        </is>
      </c>
      <c r="L338" s="2" t="inlineStr">
        <is>
          <t>No</t>
        </is>
      </c>
      <c r="M338" s="2" t="inlineStr">
        <is>
          <t>No</t>
        </is>
      </c>
      <c r="N338" s="2">
        <f>IF(AND($K338="Yes",$L338="Yes",$M338="Yes"),"Yes","No")</f>
        <v/>
      </c>
      <c r="O338" s="2" t="inlineStr"/>
    </row>
    <row r="339">
      <c r="A339" s="2" t="inlineStr">
        <is>
          <t>CARD-00331</t>
        </is>
      </c>
      <c r="B339" s="2" t="inlineStr">
        <is>
          <t>ARCKCESTIAL FIREBALL</t>
        </is>
      </c>
      <c r="C339" s="2" t="inlineStr">
        <is>
          <t>CHST</t>
        </is>
      </c>
      <c r="D339" s="2" t="inlineStr">
        <is>
          <t>013</t>
        </is>
      </c>
      <c r="E339" s="2" t="inlineStr">
        <is>
          <t>Chronicles of the Starborn</t>
        </is>
      </c>
      <c r="F339" s="2" t="inlineStr">
        <is>
          <t>Monster</t>
        </is>
      </c>
      <c r="G339" s="2" t="inlineStr">
        <is>
          <t>Spellcaster / Tuner / Effect</t>
        </is>
      </c>
      <c r="H339" s="2" t="inlineStr">
        <is>
          <t>Arckcestial</t>
        </is>
      </c>
      <c r="I339" s="2" t="inlineStr">
        <is>
          <t>2025-11-19</t>
        </is>
      </c>
      <c r="J339" s="2" t="inlineStr">
        <is>
          <t>/assets/cards/Arckcestial_Fireball.jpeg</t>
        </is>
      </c>
      <c r="K339" s="2" t="inlineStr">
        <is>
          <t>No</t>
        </is>
      </c>
      <c r="L339" s="2" t="inlineStr">
        <is>
          <t>No</t>
        </is>
      </c>
      <c r="M339" s="2" t="inlineStr">
        <is>
          <t>No</t>
        </is>
      </c>
      <c r="N339" s="2">
        <f>IF(AND($K339="Yes",$L339="Yes",$M339="Yes"),"Yes","No")</f>
        <v/>
      </c>
      <c r="O339" s="2" t="inlineStr"/>
    </row>
    <row r="340">
      <c r="A340" s="2" t="inlineStr">
        <is>
          <t>CARD-00332</t>
        </is>
      </c>
      <c r="B340" s="2" t="inlineStr">
        <is>
          <t>ARCKCESTIAL ORB</t>
        </is>
      </c>
      <c r="C340" s="2" t="inlineStr">
        <is>
          <t>CHST</t>
        </is>
      </c>
      <c r="D340" s="2" t="inlineStr">
        <is>
          <t>014</t>
        </is>
      </c>
      <c r="E340" s="2" t="inlineStr">
        <is>
          <t>Chronicles of the Starborn</t>
        </is>
      </c>
      <c r="F340" s="2" t="inlineStr">
        <is>
          <t>Monster</t>
        </is>
      </c>
      <c r="G340" s="2" t="inlineStr">
        <is>
          <t>Spellcaster / Effect</t>
        </is>
      </c>
      <c r="H340" s="2" t="inlineStr">
        <is>
          <t>Arckcestial</t>
        </is>
      </c>
      <c r="I340" s="2" t="inlineStr">
        <is>
          <t>2025-11-19</t>
        </is>
      </c>
      <c r="J340" s="2" t="inlineStr">
        <is>
          <t>/assets/cards/Arckcestial_Orb.jpeg</t>
        </is>
      </c>
      <c r="K340" s="2" t="inlineStr">
        <is>
          <t>No</t>
        </is>
      </c>
      <c r="L340" s="2" t="inlineStr">
        <is>
          <t>No</t>
        </is>
      </c>
      <c r="M340" s="2" t="inlineStr">
        <is>
          <t>No</t>
        </is>
      </c>
      <c r="N340" s="2">
        <f>IF(AND($K340="Yes",$L340="Yes",$M340="Yes"),"Yes","No")</f>
        <v/>
      </c>
      <c r="O340" s="2" t="inlineStr"/>
    </row>
    <row r="341">
      <c r="A341" s="2" t="inlineStr">
        <is>
          <t>CARD-00333</t>
        </is>
      </c>
      <c r="B341" s="2" t="inlineStr">
        <is>
          <t>ARCKCESTIAL PRISM</t>
        </is>
      </c>
      <c r="C341" s="2" t="inlineStr">
        <is>
          <t>CHST</t>
        </is>
      </c>
      <c r="D341" s="2" t="inlineStr">
        <is>
          <t>015</t>
        </is>
      </c>
      <c r="E341" s="2" t="inlineStr">
        <is>
          <t>Chronicles of the Starborn</t>
        </is>
      </c>
      <c r="F341" s="2" t="inlineStr">
        <is>
          <t>Monster</t>
        </is>
      </c>
      <c r="G341" s="2" t="inlineStr">
        <is>
          <t>Spellcaster / Effect</t>
        </is>
      </c>
      <c r="H341" s="2" t="inlineStr">
        <is>
          <t>Arckcestial</t>
        </is>
      </c>
      <c r="I341" s="2" t="inlineStr">
        <is>
          <t>2025-11-19</t>
        </is>
      </c>
      <c r="J341" s="2" t="inlineStr">
        <is>
          <t>/assets/cards/Arckcestial_Prism.jpeg</t>
        </is>
      </c>
      <c r="K341" s="2" t="inlineStr">
        <is>
          <t>No</t>
        </is>
      </c>
      <c r="L341" s="2" t="inlineStr">
        <is>
          <t>No</t>
        </is>
      </c>
      <c r="M341" s="2" t="inlineStr">
        <is>
          <t>No</t>
        </is>
      </c>
      <c r="N341" s="2">
        <f>IF(AND($K341="Yes",$L341="Yes",$M341="Yes"),"Yes","No")</f>
        <v/>
      </c>
      <c r="O341" s="2" t="inlineStr"/>
    </row>
    <row r="342">
      <c r="A342" s="2" t="inlineStr">
        <is>
          <t>CARD-00334</t>
        </is>
      </c>
      <c r="B342" s="2" t="inlineStr">
        <is>
          <t>ARCKCESTIAL DESCEND</t>
        </is>
      </c>
      <c r="C342" s="2" t="inlineStr">
        <is>
          <t>CHST</t>
        </is>
      </c>
      <c r="D342" s="2" t="inlineStr">
        <is>
          <t>016</t>
        </is>
      </c>
      <c r="E342" s="2" t="inlineStr">
        <is>
          <t>Chronicles of the Starborn</t>
        </is>
      </c>
      <c r="F342" s="2" t="inlineStr">
        <is>
          <t>Spell</t>
        </is>
      </c>
      <c r="G342" s="2" t="inlineStr">
        <is>
          <t>Spell / Normal</t>
        </is>
      </c>
      <c r="H342" s="2" t="inlineStr">
        <is>
          <t>Arckcestial</t>
        </is>
      </c>
      <c r="I342" s="2" t="inlineStr">
        <is>
          <t>2025-11-19</t>
        </is>
      </c>
      <c r="J342" s="2" t="inlineStr">
        <is>
          <t>/assets/cards/Arckcestial_Descend.jpeg</t>
        </is>
      </c>
      <c r="K342" s="2" t="inlineStr">
        <is>
          <t>No</t>
        </is>
      </c>
      <c r="L342" s="2" t="inlineStr">
        <is>
          <t>No</t>
        </is>
      </c>
      <c r="M342" s="2" t="inlineStr">
        <is>
          <t>No</t>
        </is>
      </c>
      <c r="N342" s="2">
        <f>IF(AND($K342="Yes",$L342="Yes",$M342="Yes"),"Yes","No")</f>
        <v/>
      </c>
      <c r="O342" s="2" t="inlineStr"/>
    </row>
    <row r="343">
      <c r="A343" s="2" t="inlineStr">
        <is>
          <t>CARD-00335</t>
        </is>
      </c>
      <c r="B343" s="2" t="inlineStr">
        <is>
          <t>ARCKCESTIAL MEADOW</t>
        </is>
      </c>
      <c r="C343" s="2" t="inlineStr">
        <is>
          <t>CHST</t>
        </is>
      </c>
      <c r="D343" s="2" t="inlineStr">
        <is>
          <t>017</t>
        </is>
      </c>
      <c r="E343" s="2" t="inlineStr">
        <is>
          <t>Chronicles of the Starborn</t>
        </is>
      </c>
      <c r="F343" s="2" t="inlineStr">
        <is>
          <t>Spell</t>
        </is>
      </c>
      <c r="G343" s="2" t="inlineStr">
        <is>
          <t>Spell / Field</t>
        </is>
      </c>
      <c r="H343" s="2" t="inlineStr">
        <is>
          <t>Arckcestial</t>
        </is>
      </c>
      <c r="I343" s="2" t="inlineStr">
        <is>
          <t>2025-11-19</t>
        </is>
      </c>
      <c r="J343" s="2" t="inlineStr">
        <is>
          <t>/assets/cards/Arckcestial_Meadow.jpeg</t>
        </is>
      </c>
      <c r="K343" s="2" t="inlineStr">
        <is>
          <t>No</t>
        </is>
      </c>
      <c r="L343" s="2" t="inlineStr">
        <is>
          <t>No</t>
        </is>
      </c>
      <c r="M343" s="2" t="inlineStr">
        <is>
          <t>No</t>
        </is>
      </c>
      <c r="N343" s="2">
        <f>IF(AND($K343="Yes",$L343="Yes",$M343="Yes"),"Yes","No")</f>
        <v/>
      </c>
      <c r="O343" s="2" t="inlineStr"/>
    </row>
    <row r="344">
      <c r="A344" s="2" t="inlineStr">
        <is>
          <t>CARD-00336</t>
        </is>
      </c>
      <c r="B344" s="2" t="inlineStr">
        <is>
          <t>ARCKCESTIAL PILLAR OF HEAVENS</t>
        </is>
      </c>
      <c r="C344" s="2" t="inlineStr">
        <is>
          <t>CHST</t>
        </is>
      </c>
      <c r="D344" s="2" t="inlineStr">
        <is>
          <t>018</t>
        </is>
      </c>
      <c r="E344" s="2" t="inlineStr">
        <is>
          <t>Chronicles of the Starborn</t>
        </is>
      </c>
      <c r="F344" s="2" t="inlineStr">
        <is>
          <t>Spell</t>
        </is>
      </c>
      <c r="G344" s="2" t="inlineStr">
        <is>
          <t>Spell / Continuous</t>
        </is>
      </c>
      <c r="H344" s="2" t="inlineStr">
        <is>
          <t>Arckcestial</t>
        </is>
      </c>
      <c r="I344" s="2" t="inlineStr">
        <is>
          <t>2025-11-19</t>
        </is>
      </c>
      <c r="J344" s="2" t="inlineStr">
        <is>
          <t>/assets/cards/Arckcestial_Pillar_of_Heavens.jpeg</t>
        </is>
      </c>
      <c r="K344" s="2" t="inlineStr">
        <is>
          <t>No</t>
        </is>
      </c>
      <c r="L344" s="2" t="inlineStr">
        <is>
          <t>No</t>
        </is>
      </c>
      <c r="M344" s="2" t="inlineStr">
        <is>
          <t>No</t>
        </is>
      </c>
      <c r="N344" s="2">
        <f>IF(AND($K344="Yes",$L344="Yes",$M344="Yes"),"Yes","No")</f>
        <v/>
      </c>
      <c r="O344" s="2" t="inlineStr"/>
    </row>
    <row r="345">
      <c r="A345" s="2" t="inlineStr">
        <is>
          <t>CARD-00337</t>
        </is>
      </c>
      <c r="B345" s="2" t="inlineStr">
        <is>
          <t>RANK-UP-MAGIC KEY OF ARCK CELESTIAL FORCE</t>
        </is>
      </c>
      <c r="C345" s="2" t="inlineStr">
        <is>
          <t>CHST</t>
        </is>
      </c>
      <c r="D345" s="2" t="inlineStr">
        <is>
          <t>019</t>
        </is>
      </c>
      <c r="E345" s="2" t="inlineStr">
        <is>
          <t>Chronicles of the Starborn</t>
        </is>
      </c>
      <c r="F345" s="2" t="inlineStr">
        <is>
          <t>Spell</t>
        </is>
      </c>
      <c r="G345" s="2" t="inlineStr">
        <is>
          <t>Spell / Normal</t>
        </is>
      </c>
      <c r="H345" s="2" t="inlineStr">
        <is>
          <t>Arckcestial</t>
        </is>
      </c>
      <c r="I345" s="2" t="inlineStr">
        <is>
          <t>2025-11-19</t>
        </is>
      </c>
      <c r="J345" s="2" t="inlineStr">
        <is>
          <t>/assets/cards/Rank-Up-Magic_Key_of_Arck_Celestial_Force.jpeg</t>
        </is>
      </c>
      <c r="K345" s="2" t="inlineStr">
        <is>
          <t>No</t>
        </is>
      </c>
      <c r="L345" s="2" t="inlineStr">
        <is>
          <t>No</t>
        </is>
      </c>
      <c r="M345" s="2" t="inlineStr">
        <is>
          <t>No</t>
        </is>
      </c>
      <c r="N345" s="2">
        <f>IF(AND($K345="Yes",$L345="Yes",$M345="Yes"),"Yes","No")</f>
        <v/>
      </c>
      <c r="O345" s="2" t="inlineStr"/>
    </row>
    <row r="346">
      <c r="A346" s="2" t="inlineStr">
        <is>
          <t>CARD-00338</t>
        </is>
      </c>
      <c r="B346" s="2" t="inlineStr">
        <is>
          <t>URPHIEL'S FEATHER DOWNPOUR</t>
        </is>
      </c>
      <c r="C346" s="2" t="inlineStr">
        <is>
          <t>CHST</t>
        </is>
      </c>
      <c r="D346" s="2" t="inlineStr">
        <is>
          <t>020</t>
        </is>
      </c>
      <c r="E346" s="2" t="inlineStr">
        <is>
          <t>Chronicles of the Starborn</t>
        </is>
      </c>
      <c r="F346" s="2" t="inlineStr">
        <is>
          <t>Spell</t>
        </is>
      </c>
      <c r="G346" s="2" t="inlineStr">
        <is>
          <t>Spell / Quick-Play</t>
        </is>
      </c>
      <c r="H346" s="2" t="inlineStr">
        <is>
          <t>Arckcestial</t>
        </is>
      </c>
      <c r="I346" s="2" t="inlineStr">
        <is>
          <t>2025-11-19</t>
        </is>
      </c>
      <c r="J346" s="2" t="inlineStr">
        <is>
          <t>/assets/cards/Urphiels_Feather_Downpour.jpeg</t>
        </is>
      </c>
      <c r="K346" s="2" t="inlineStr">
        <is>
          <t>No</t>
        </is>
      </c>
      <c r="L346" s="2" t="inlineStr">
        <is>
          <t>No</t>
        </is>
      </c>
      <c r="M346" s="2" t="inlineStr">
        <is>
          <t>No</t>
        </is>
      </c>
      <c r="N346" s="2">
        <f>IF(AND($K346="Yes",$L346="Yes",$M346="Yes"),"Yes","No")</f>
        <v/>
      </c>
      <c r="O346" s="2" t="inlineStr"/>
    </row>
    <row r="347">
      <c r="A347" s="2" t="inlineStr">
        <is>
          <t>CARD-00339</t>
        </is>
      </c>
      <c r="B347" s="2" t="inlineStr">
        <is>
          <t>Arckcestial Burning</t>
        </is>
      </c>
      <c r="C347" s="2" t="inlineStr">
        <is>
          <t>CHST</t>
        </is>
      </c>
      <c r="D347" s="2" t="inlineStr">
        <is>
          <t>021</t>
        </is>
      </c>
      <c r="E347" s="2" t="inlineStr">
        <is>
          <t>Chronicles of the Starborn</t>
        </is>
      </c>
      <c r="F347" s="2" t="inlineStr">
        <is>
          <t>Trap</t>
        </is>
      </c>
      <c r="G347" s="2" t="inlineStr">
        <is>
          <t>Trap / Normal</t>
        </is>
      </c>
      <c r="H347" s="2" t="inlineStr">
        <is>
          <t>Arckcestial</t>
        </is>
      </c>
      <c r="I347" s="2" t="inlineStr">
        <is>
          <t>2025-11-19</t>
        </is>
      </c>
      <c r="J347" s="2" t="inlineStr">
        <is>
          <t>/assets/cards/Arckcestial_Burning.jpeg</t>
        </is>
      </c>
      <c r="K347" s="2" t="inlineStr">
        <is>
          <t>No</t>
        </is>
      </c>
      <c r="L347" s="2" t="inlineStr">
        <is>
          <t>No</t>
        </is>
      </c>
      <c r="M347" s="2" t="inlineStr">
        <is>
          <t>No</t>
        </is>
      </c>
      <c r="N347" s="2">
        <f>IF(AND($K347="Yes",$L347="Yes",$M347="Yes"),"Yes","No")</f>
        <v/>
      </c>
      <c r="O347" s="2" t="inlineStr"/>
    </row>
    <row r="348">
      <c r="A348" s="2" t="inlineStr">
        <is>
          <t>CARD-00340</t>
        </is>
      </c>
      <c r="B348" s="2" t="inlineStr">
        <is>
          <t>Light Illusion of Vazagiel</t>
        </is>
      </c>
      <c r="C348" s="2" t="inlineStr">
        <is>
          <t>CHST</t>
        </is>
      </c>
      <c r="D348" s="2" t="inlineStr">
        <is>
          <t>022</t>
        </is>
      </c>
      <c r="E348" s="2" t="inlineStr">
        <is>
          <t>Chronicles of the Starborn</t>
        </is>
      </c>
      <c r="F348" s="2" t="inlineStr">
        <is>
          <t>Trap</t>
        </is>
      </c>
      <c r="G348" s="2" t="inlineStr">
        <is>
          <t>Trap / Normal</t>
        </is>
      </c>
      <c r="H348" s="2" t="inlineStr">
        <is>
          <t>Arckcestial</t>
        </is>
      </c>
      <c r="I348" s="2" t="inlineStr">
        <is>
          <t>2025-11-19</t>
        </is>
      </c>
      <c r="J348" s="2" t="inlineStr">
        <is>
          <t>/assets/cards/Light_Illusion_of_Vazagiel.jpeg</t>
        </is>
      </c>
      <c r="K348" s="2" t="inlineStr">
        <is>
          <t>No</t>
        </is>
      </c>
      <c r="L348" s="2" t="inlineStr">
        <is>
          <t>No</t>
        </is>
      </c>
      <c r="M348" s="2" t="inlineStr">
        <is>
          <t>No</t>
        </is>
      </c>
      <c r="N348" s="2">
        <f>IF(AND($K348="Yes",$L348="Yes",$M348="Yes"),"Yes","No")</f>
        <v/>
      </c>
      <c r="O348" s="2" t="inlineStr"/>
    </row>
    <row r="349">
      <c r="A349" s="2" t="inlineStr">
        <is>
          <t>CARD-00341</t>
        </is>
      </c>
      <c r="B349" s="2" t="inlineStr">
        <is>
          <t>Malphiel, Arckcestial of Protection</t>
        </is>
      </c>
      <c r="C349" s="2" t="inlineStr">
        <is>
          <t>CHST</t>
        </is>
      </c>
      <c r="D349" s="2" t="inlineStr">
        <is>
          <t>023</t>
        </is>
      </c>
      <c r="E349" s="2" t="inlineStr">
        <is>
          <t>Chronicles of the Starborn</t>
        </is>
      </c>
      <c r="F349" s="2" t="inlineStr">
        <is>
          <t>Monster</t>
        </is>
      </c>
      <c r="G349" s="2" t="inlineStr">
        <is>
          <t>Spellcaster / Effect / Synchro</t>
        </is>
      </c>
      <c r="H349" s="2" t="inlineStr">
        <is>
          <t>Arckcestial</t>
        </is>
      </c>
      <c r="I349" s="2" t="inlineStr">
        <is>
          <t>2025-11-19</t>
        </is>
      </c>
      <c r="J349" s="2" t="inlineStr">
        <is>
          <t>/assets/cards/Malphiel_Arckcestial_of_Protection.jpeg</t>
        </is>
      </c>
      <c r="K349" s="2" t="inlineStr">
        <is>
          <t>No</t>
        </is>
      </c>
      <c r="L349" s="2" t="inlineStr">
        <is>
          <t>No</t>
        </is>
      </c>
      <c r="M349" s="2" t="inlineStr">
        <is>
          <t>No</t>
        </is>
      </c>
      <c r="N349" s="2">
        <f>IF(AND($K349="Yes",$L349="Yes",$M349="Yes"),"Yes","No")</f>
        <v/>
      </c>
      <c r="O349" s="2" t="inlineStr"/>
    </row>
    <row r="350">
      <c r="A350" s="2" t="inlineStr">
        <is>
          <t>CARD-00342</t>
        </is>
      </c>
      <c r="B350" s="2" t="inlineStr">
        <is>
          <t>Vazagiel, Arckcestial of Secrets</t>
        </is>
      </c>
      <c r="C350" s="2" t="inlineStr">
        <is>
          <t>CHST</t>
        </is>
      </c>
      <c r="D350" s="2" t="inlineStr">
        <is>
          <t>024</t>
        </is>
      </c>
      <c r="E350" s="2" t="inlineStr">
        <is>
          <t>Chronicles of the Starborn</t>
        </is>
      </c>
      <c r="F350" s="2" t="inlineStr">
        <is>
          <t>Monster</t>
        </is>
      </c>
      <c r="G350" s="2" t="inlineStr">
        <is>
          <t>Spellcaster / Effect / Synchro</t>
        </is>
      </c>
      <c r="H350" s="2" t="inlineStr">
        <is>
          <t>Arckcestial</t>
        </is>
      </c>
      <c r="I350" s="2" t="inlineStr">
        <is>
          <t>2025-11-19</t>
        </is>
      </c>
      <c r="J350" s="2" t="inlineStr">
        <is>
          <t>/assets/cards/Vazagiel_Arckcestial_of_Secrets.jpeg</t>
        </is>
      </c>
      <c r="K350" s="2" t="inlineStr">
        <is>
          <t>No</t>
        </is>
      </c>
      <c r="L350" s="2" t="inlineStr">
        <is>
          <t>No</t>
        </is>
      </c>
      <c r="M350" s="2" t="inlineStr">
        <is>
          <t>No</t>
        </is>
      </c>
      <c r="N350" s="2">
        <f>IF(AND($K350="Yes",$L350="Yes",$M350="Yes"),"Yes","No")</f>
        <v/>
      </c>
      <c r="O350" s="2" t="inlineStr"/>
    </row>
    <row r="351">
      <c r="A351" s="2" t="inlineStr">
        <is>
          <t>CARD-00343</t>
        </is>
      </c>
      <c r="B351" s="2" t="inlineStr">
        <is>
          <t>Azeriel, Arckcestial of Demise</t>
        </is>
      </c>
      <c r="C351" s="2" t="inlineStr">
        <is>
          <t>CHST</t>
        </is>
      </c>
      <c r="D351" s="2" t="inlineStr">
        <is>
          <t>025</t>
        </is>
      </c>
      <c r="E351" s="2" t="inlineStr">
        <is>
          <t>Chronicles of the Starborn</t>
        </is>
      </c>
      <c r="F351" s="2" t="inlineStr">
        <is>
          <t>Monster</t>
        </is>
      </c>
      <c r="G351" s="2" t="inlineStr">
        <is>
          <t>Spellcaster / Effect / Xyz</t>
        </is>
      </c>
      <c r="H351" s="2" t="inlineStr">
        <is>
          <t>Arckcestial</t>
        </is>
      </c>
      <c r="I351" s="2" t="inlineStr">
        <is>
          <t>2025-11-19</t>
        </is>
      </c>
      <c r="J351" s="2" t="inlineStr">
        <is>
          <t>/assets/cards/Azeriel_Arckcestial_of_Demise.jpeg</t>
        </is>
      </c>
      <c r="K351" s="2" t="inlineStr">
        <is>
          <t>No</t>
        </is>
      </c>
      <c r="L351" s="2" t="inlineStr">
        <is>
          <t>No</t>
        </is>
      </c>
      <c r="M351" s="2" t="inlineStr">
        <is>
          <t>No</t>
        </is>
      </c>
      <c r="N351" s="2">
        <f>IF(AND($K351="Yes",$L351="Yes",$M351="Yes"),"Yes","No")</f>
        <v/>
      </c>
      <c r="O351" s="2" t="inlineStr"/>
    </row>
    <row r="352">
      <c r="A352" s="2" t="inlineStr">
        <is>
          <t>CARD-00344</t>
        </is>
      </c>
      <c r="B352" s="2" t="inlineStr">
        <is>
          <t>Ophiel, Arckcestial of Wisdom</t>
        </is>
      </c>
      <c r="C352" s="2" t="inlineStr">
        <is>
          <t>CHST</t>
        </is>
      </c>
      <c r="D352" s="2" t="inlineStr">
        <is>
          <t>026</t>
        </is>
      </c>
      <c r="E352" s="2" t="inlineStr">
        <is>
          <t>Chronicles of the Starborn</t>
        </is>
      </c>
      <c r="F352" s="2" t="inlineStr">
        <is>
          <t>Monster</t>
        </is>
      </c>
      <c r="G352" s="2" t="inlineStr">
        <is>
          <t>Spellcaster / Effect / Xyz</t>
        </is>
      </c>
      <c r="H352" s="2" t="inlineStr">
        <is>
          <t>Arckcestial</t>
        </is>
      </c>
      <c r="I352" s="2" t="inlineStr">
        <is>
          <t>2025-11-19</t>
        </is>
      </c>
      <c r="J352" s="2" t="inlineStr">
        <is>
          <t>/assets/cards/Ophiel_Arckcestial_of_Wisdom.jpeg</t>
        </is>
      </c>
      <c r="K352" s="2" t="inlineStr">
        <is>
          <t>No</t>
        </is>
      </c>
      <c r="L352" s="2" t="inlineStr">
        <is>
          <t>No</t>
        </is>
      </c>
      <c r="M352" s="2" t="inlineStr">
        <is>
          <t>No</t>
        </is>
      </c>
      <c r="N352" s="2">
        <f>IF(AND($K352="Yes",$L352="Yes",$M352="Yes"),"Yes","No")</f>
        <v/>
      </c>
      <c r="O352" s="2" t="inlineStr"/>
    </row>
    <row r="353">
      <c r="A353" s="2" t="inlineStr">
        <is>
          <t>CARD-00345</t>
        </is>
      </c>
      <c r="B353" s="2" t="inlineStr">
        <is>
          <t>Sarifiel, Arckcestial of Moonlight</t>
        </is>
      </c>
      <c r="C353" s="2" t="inlineStr">
        <is>
          <t>CHST</t>
        </is>
      </c>
      <c r="D353" s="2" t="inlineStr">
        <is>
          <t>027</t>
        </is>
      </c>
      <c r="E353" s="2" t="inlineStr">
        <is>
          <t>Chronicles of the Starborn</t>
        </is>
      </c>
      <c r="F353" s="2" t="inlineStr">
        <is>
          <t>Monster</t>
        </is>
      </c>
      <c r="G353" s="2" t="inlineStr">
        <is>
          <t>Spellcaster / Effect / Xyz</t>
        </is>
      </c>
      <c r="H353" s="2" t="inlineStr">
        <is>
          <t>Arckcestial</t>
        </is>
      </c>
      <c r="I353" s="2" t="inlineStr">
        <is>
          <t>2025-11-19</t>
        </is>
      </c>
      <c r="J353" s="2" t="inlineStr">
        <is>
          <t>/assets/cards/Sarifiel_Arckcestial_of_Moonlight.jpeg</t>
        </is>
      </c>
      <c r="K353" s="2" t="inlineStr">
        <is>
          <t>No</t>
        </is>
      </c>
      <c r="L353" s="2" t="inlineStr">
        <is>
          <t>No</t>
        </is>
      </c>
      <c r="M353" s="2" t="inlineStr">
        <is>
          <t>No</t>
        </is>
      </c>
      <c r="N353" s="2">
        <f>IF(AND($K353="Yes",$L353="Yes",$M353="Yes"),"Yes","No")</f>
        <v/>
      </c>
      <c r="O353" s="2" t="inlineStr"/>
    </row>
    <row r="354">
      <c r="A354" s="2" t="inlineStr">
        <is>
          <t>CARD-00346</t>
        </is>
      </c>
      <c r="B354" s="2" t="inlineStr">
        <is>
          <t>Urphiel, The High Arckcestial</t>
        </is>
      </c>
      <c r="C354" s="2" t="inlineStr">
        <is>
          <t>CHST</t>
        </is>
      </c>
      <c r="D354" s="2" t="inlineStr">
        <is>
          <t>028</t>
        </is>
      </c>
      <c r="E354" s="2" t="inlineStr">
        <is>
          <t>Chronicles of the Starborn</t>
        </is>
      </c>
      <c r="F354" s="2" t="inlineStr">
        <is>
          <t>Monster</t>
        </is>
      </c>
      <c r="G354" s="2" t="inlineStr">
        <is>
          <t>Spellcaster / Effect / Xyz</t>
        </is>
      </c>
      <c r="H354" s="2" t="inlineStr">
        <is>
          <t>Arckcestial</t>
        </is>
      </c>
      <c r="I354" s="2" t="inlineStr">
        <is>
          <t>2025-11-19</t>
        </is>
      </c>
      <c r="J354" s="2" t="inlineStr">
        <is>
          <t>/assets/cards/Urphiel_The_High_Arckcestial.jpeg</t>
        </is>
      </c>
      <c r="K354" s="2" t="inlineStr">
        <is>
          <t>No</t>
        </is>
      </c>
      <c r="L354" s="2" t="inlineStr">
        <is>
          <t>No</t>
        </is>
      </c>
      <c r="M354" s="2" t="inlineStr">
        <is>
          <t>No</t>
        </is>
      </c>
      <c r="N354" s="2">
        <f>IF(AND($K354="Yes",$L354="Yes",$M354="Yes"),"Yes","No")</f>
        <v/>
      </c>
      <c r="O354" s="2" t="inlineStr"/>
    </row>
    <row r="355">
      <c r="A355" s="2" t="inlineStr">
        <is>
          <t>CARD-00347</t>
        </is>
      </c>
      <c r="B355" s="2" t="inlineStr">
        <is>
          <t>Bauy Magician</t>
        </is>
      </c>
      <c r="C355" s="2" t="inlineStr">
        <is>
          <t>CHST</t>
        </is>
      </c>
      <c r="D355" s="2" t="inlineStr">
        <is>
          <t>029</t>
        </is>
      </c>
      <c r="E355" s="2" t="inlineStr">
        <is>
          <t>Chronicles of the Starborn</t>
        </is>
      </c>
      <c r="F355" s="2" t="inlineStr">
        <is>
          <t>Monster</t>
        </is>
      </c>
      <c r="G355" s="2" t="inlineStr">
        <is>
          <t>Spellcaster / Effect / Tuner</t>
        </is>
      </c>
      <c r="H355" s="2" t="inlineStr">
        <is>
          <t>Bauy</t>
        </is>
      </c>
      <c r="I355" s="2" t="inlineStr">
        <is>
          <t>2025-11-19</t>
        </is>
      </c>
      <c r="J355" s="2" t="inlineStr">
        <is>
          <t>/assets/cards/Bauy_Magician.jpeg</t>
        </is>
      </c>
      <c r="K355" s="2" t="inlineStr">
        <is>
          <t>No</t>
        </is>
      </c>
      <c r="L355" s="2" t="inlineStr">
        <is>
          <t>No</t>
        </is>
      </c>
      <c r="M355" s="2" t="inlineStr">
        <is>
          <t>No</t>
        </is>
      </c>
      <c r="N355" s="2">
        <f>IF(AND($K355="Yes",$L355="Yes",$M355="Yes"),"Yes","No")</f>
        <v/>
      </c>
      <c r="O355" s="2" t="inlineStr"/>
    </row>
    <row r="356">
      <c r="A356" s="2" t="inlineStr">
        <is>
          <t>CARD-00348</t>
        </is>
      </c>
      <c r="B356" s="2" t="inlineStr">
        <is>
          <t>Dreaming Bau</t>
        </is>
      </c>
      <c r="C356" s="2" t="inlineStr">
        <is>
          <t>CHST</t>
        </is>
      </c>
      <c r="D356" s="2" t="inlineStr">
        <is>
          <t>030</t>
        </is>
      </c>
      <c r="E356" s="2" t="inlineStr">
        <is>
          <t>Chronicles of the Starborn</t>
        </is>
      </c>
      <c r="F356" s="2" t="inlineStr">
        <is>
          <t>Monster</t>
        </is>
      </c>
      <c r="G356" s="2" t="inlineStr">
        <is>
          <t>Beast / Effect / Tuner</t>
        </is>
      </c>
      <c r="H356" s="2" t="inlineStr">
        <is>
          <t>Bau</t>
        </is>
      </c>
      <c r="I356" s="2" t="inlineStr">
        <is>
          <t>2025-11-19</t>
        </is>
      </c>
      <c r="J356" s="2" t="inlineStr">
        <is>
          <t>/assets/cards/Dreaming_Bau.jpeg</t>
        </is>
      </c>
      <c r="K356" s="2" t="inlineStr">
        <is>
          <t>No</t>
        </is>
      </c>
      <c r="L356" s="2" t="inlineStr">
        <is>
          <t>No</t>
        </is>
      </c>
      <c r="M356" s="2" t="inlineStr">
        <is>
          <t>No</t>
        </is>
      </c>
      <c r="N356" s="2">
        <f>IF(AND($K356="Yes",$L356="Yes",$M356="Yes"),"Yes","No")</f>
        <v/>
      </c>
      <c r="O356" s="2" t="inlineStr"/>
    </row>
    <row r="357">
      <c r="A357" s="2" t="inlineStr">
        <is>
          <t>CARD-00349</t>
        </is>
      </c>
      <c r="B357" s="2" t="inlineStr">
        <is>
          <t>Ro-Bau</t>
        </is>
      </c>
      <c r="C357" s="2" t="inlineStr">
        <is>
          <t>CHST</t>
        </is>
      </c>
      <c r="D357" s="2" t="inlineStr">
        <is>
          <t>031</t>
        </is>
      </c>
      <c r="E357" s="2" t="inlineStr">
        <is>
          <t>Chronicles of the Starborn</t>
        </is>
      </c>
      <c r="F357" s="2" t="inlineStr">
        <is>
          <t>Monster</t>
        </is>
      </c>
      <c r="G357" s="2" t="inlineStr">
        <is>
          <t>Machine / Effect / Tuner</t>
        </is>
      </c>
      <c r="H357" s="2" t="inlineStr">
        <is>
          <t>Bau</t>
        </is>
      </c>
      <c r="I357" s="2" t="inlineStr">
        <is>
          <t>2025-11-19</t>
        </is>
      </c>
      <c r="J357" s="2" t="inlineStr">
        <is>
          <t>/assets/cards/Ro-Bau.jpeg</t>
        </is>
      </c>
      <c r="K357" s="2" t="inlineStr">
        <is>
          <t>No</t>
        </is>
      </c>
      <c r="L357" s="2" t="inlineStr">
        <is>
          <t>No</t>
        </is>
      </c>
      <c r="M357" s="2" t="inlineStr">
        <is>
          <t>No</t>
        </is>
      </c>
      <c r="N357" s="2">
        <f>IF(AND($K357="Yes",$L357="Yes",$M357="Yes"),"Yes","No")</f>
        <v/>
      </c>
      <c r="O357" s="2" t="inlineStr"/>
    </row>
    <row r="358">
      <c r="A358" s="2" t="inlineStr">
        <is>
          <t>CARD-00350</t>
        </is>
      </c>
      <c r="B358" s="2" t="inlineStr">
        <is>
          <t>Bau</t>
        </is>
      </c>
      <c r="C358" s="2" t="inlineStr">
        <is>
          <t>CHST</t>
        </is>
      </c>
      <c r="D358" s="2" t="inlineStr">
        <is>
          <t>032</t>
        </is>
      </c>
      <c r="E358" s="2" t="inlineStr">
        <is>
          <t>Chronicles of the Starborn</t>
        </is>
      </c>
      <c r="F358" s="2" t="inlineStr">
        <is>
          <t>Monster</t>
        </is>
      </c>
      <c r="G358" s="2" t="inlineStr">
        <is>
          <t>Beast / Effect</t>
        </is>
      </c>
      <c r="H358" s="2" t="inlineStr">
        <is>
          <t>Bau</t>
        </is>
      </c>
      <c r="I358" s="2" t="inlineStr">
        <is>
          <t>2025-11-19</t>
        </is>
      </c>
      <c r="J358" s="2" t="inlineStr">
        <is>
          <t>/assets/cards/Bau.jpeg</t>
        </is>
      </c>
      <c r="K358" s="2" t="inlineStr">
        <is>
          <t>No</t>
        </is>
      </c>
      <c r="L358" s="2" t="inlineStr">
        <is>
          <t>No</t>
        </is>
      </c>
      <c r="M358" s="2" t="inlineStr">
        <is>
          <t>No</t>
        </is>
      </c>
      <c r="N358" s="2">
        <f>IF(AND($K358="Yes",$L358="Yes",$M358="Yes"),"Yes","No")</f>
        <v/>
      </c>
      <c r="O358" s="2" t="inlineStr"/>
    </row>
    <row r="359">
      <c r="A359" s="2" t="inlineStr">
        <is>
          <t>CARD-00351</t>
        </is>
      </c>
      <c r="B359" s="2" t="inlineStr">
        <is>
          <t>Winged Bauy Fenrir</t>
        </is>
      </c>
      <c r="C359" s="2" t="inlineStr">
        <is>
          <t>CHST</t>
        </is>
      </c>
      <c r="D359" s="2" t="inlineStr">
        <is>
          <t>033</t>
        </is>
      </c>
      <c r="E359" s="2" t="inlineStr">
        <is>
          <t>Chronicles of the Starborn</t>
        </is>
      </c>
      <c r="F359" s="2" t="inlineStr">
        <is>
          <t>Monster</t>
        </is>
      </c>
      <c r="G359" s="2" t="inlineStr">
        <is>
          <t>Winged Beast / Effect / Synchro</t>
        </is>
      </c>
      <c r="H359" s="2" t="inlineStr">
        <is>
          <t>Bau</t>
        </is>
      </c>
      <c r="I359" s="2" t="inlineStr">
        <is>
          <t>2025-11-19</t>
        </is>
      </c>
      <c r="J359" s="2" t="inlineStr">
        <is>
          <t>/assets/cards/Winged_Bauy_Fenrir.jpeg</t>
        </is>
      </c>
      <c r="K359" s="2" t="inlineStr">
        <is>
          <t>No</t>
        </is>
      </c>
      <c r="L359" s="2" t="inlineStr">
        <is>
          <t>No</t>
        </is>
      </c>
      <c r="M359" s="2" t="inlineStr">
        <is>
          <t>No</t>
        </is>
      </c>
      <c r="N359" s="2">
        <f>IF(AND($K359="Yes",$L359="Yes",$M359="Yes"),"Yes","No")</f>
        <v/>
      </c>
      <c r="O359" s="2" t="inlineStr"/>
    </row>
    <row r="360">
      <c r="A360" s="2" t="inlineStr">
        <is>
          <t>CARD-00352</t>
        </is>
      </c>
      <c r="B360" s="2" t="inlineStr">
        <is>
          <t>Starfury Bauy Dragon</t>
        </is>
      </c>
      <c r="C360" s="2" t="inlineStr">
        <is>
          <t>CHST</t>
        </is>
      </c>
      <c r="D360" s="2" t="inlineStr">
        <is>
          <t>034</t>
        </is>
      </c>
      <c r="E360" s="2" t="inlineStr">
        <is>
          <t>Chronicles of the Starborn</t>
        </is>
      </c>
      <c r="F360" s="2" t="inlineStr">
        <is>
          <t>Monster</t>
        </is>
      </c>
      <c r="G360" s="2" t="inlineStr">
        <is>
          <t>Dragon / Effect / Synchro</t>
        </is>
      </c>
      <c r="H360" s="2" t="inlineStr">
        <is>
          <t>Bau</t>
        </is>
      </c>
      <c r="I360" s="2" t="inlineStr">
        <is>
          <t>2025-11-19</t>
        </is>
      </c>
      <c r="J360" s="2" t="inlineStr">
        <is>
          <t>/assets/cards/Starfury_Bauy_Dragon.jpeg</t>
        </is>
      </c>
      <c r="K360" s="2" t="inlineStr">
        <is>
          <t>No</t>
        </is>
      </c>
      <c r="L360" s="2" t="inlineStr">
        <is>
          <t>No</t>
        </is>
      </c>
      <c r="M360" s="2" t="inlineStr">
        <is>
          <t>No</t>
        </is>
      </c>
      <c r="N360" s="2">
        <f>IF(AND($K360="Yes",$L360="Yes",$M360="Yes"),"Yes","No")</f>
        <v/>
      </c>
      <c r="O360" s="2" t="inlineStr"/>
    </row>
    <row r="361">
      <c r="A361" s="2" t="inlineStr">
        <is>
          <t>CARD-00353</t>
        </is>
      </c>
      <c r="B361" s="2" t="inlineStr">
        <is>
          <t>Bael, Demon Incarnate</t>
        </is>
      </c>
      <c r="C361" s="2" t="inlineStr">
        <is>
          <t>CHST</t>
        </is>
      </c>
      <c r="D361" s="2" t="inlineStr">
        <is>
          <t>035</t>
        </is>
      </c>
      <c r="E361" s="2" t="inlineStr">
        <is>
          <t>Chronicles of the Starborn</t>
        </is>
      </c>
      <c r="F361" s="2" t="inlineStr">
        <is>
          <t>Monster</t>
        </is>
      </c>
      <c r="G361" s="2" t="inlineStr">
        <is>
          <t>Fiend / Effect / Xyz</t>
        </is>
      </c>
      <c r="H361" s="2" t="inlineStr"/>
      <c r="I361" s="2" t="inlineStr">
        <is>
          <t>2025-11-19</t>
        </is>
      </c>
      <c r="J361" s="2" t="inlineStr">
        <is>
          <t>/assets/cards/Bael_Demon_Incarnate.jpeg</t>
        </is>
      </c>
      <c r="K361" s="2" t="inlineStr">
        <is>
          <t>No</t>
        </is>
      </c>
      <c r="L361" s="2" t="inlineStr">
        <is>
          <t>No</t>
        </is>
      </c>
      <c r="M361" s="2" t="inlineStr">
        <is>
          <t>No</t>
        </is>
      </c>
      <c r="N361" s="2">
        <f>IF(AND($K361="Yes",$L361="Yes",$M361="Yes"),"Yes","No")</f>
        <v/>
      </c>
      <c r="O361" s="2" t="inlineStr"/>
    </row>
    <row r="362">
      <c r="A362" s="2" t="inlineStr">
        <is>
          <t>CARD-00354</t>
        </is>
      </c>
      <c r="B362" s="2" t="inlineStr">
        <is>
          <t>Bauy World</t>
        </is>
      </c>
      <c r="C362" s="2" t="inlineStr">
        <is>
          <t>CHST</t>
        </is>
      </c>
      <c r="D362" s="2" t="inlineStr">
        <is>
          <t>036</t>
        </is>
      </c>
      <c r="E362" s="2" t="inlineStr">
        <is>
          <t>Chronicles of the Starborn</t>
        </is>
      </c>
      <c r="F362" s="2" t="inlineStr">
        <is>
          <t>Spell</t>
        </is>
      </c>
      <c r="G362" s="2" t="inlineStr">
        <is>
          <t>Spell / Field</t>
        </is>
      </c>
      <c r="H362" s="2" t="inlineStr">
        <is>
          <t>Bau</t>
        </is>
      </c>
      <c r="I362" s="2" t="inlineStr">
        <is>
          <t>2025-11-19</t>
        </is>
      </c>
      <c r="J362" s="2" t="inlineStr">
        <is>
          <t>/assets/cards/Bauy_World.jpeg</t>
        </is>
      </c>
      <c r="K362" s="2" t="inlineStr">
        <is>
          <t>No</t>
        </is>
      </c>
      <c r="L362" s="2" t="inlineStr">
        <is>
          <t>No</t>
        </is>
      </c>
      <c r="M362" s="2" t="inlineStr">
        <is>
          <t>No</t>
        </is>
      </c>
      <c r="N362" s="2">
        <f>IF(AND($K362="Yes",$L362="Yes",$M362="Yes"),"Yes","No")</f>
        <v/>
      </c>
      <c r="O362" s="2" t="inlineStr"/>
    </row>
    <row r="363">
      <c r="A363" s="2" t="inlineStr">
        <is>
          <t>CARD-00355</t>
        </is>
      </c>
      <c r="B363" s="2" t="inlineStr">
        <is>
          <t>Bauy Spellcasting</t>
        </is>
      </c>
      <c r="C363" s="2" t="inlineStr">
        <is>
          <t>CHST</t>
        </is>
      </c>
      <c r="D363" s="2" t="inlineStr">
        <is>
          <t>037</t>
        </is>
      </c>
      <c r="E363" s="2" t="inlineStr">
        <is>
          <t>Chronicles of the Starborn</t>
        </is>
      </c>
      <c r="F363" s="2" t="inlineStr">
        <is>
          <t>Spell</t>
        </is>
      </c>
      <c r="G363" s="2" t="inlineStr">
        <is>
          <t>Spell / Quick-Play</t>
        </is>
      </c>
      <c r="H363" s="2" t="inlineStr">
        <is>
          <t>Bau</t>
        </is>
      </c>
      <c r="I363" s="2" t="inlineStr">
        <is>
          <t>2025-11-19</t>
        </is>
      </c>
      <c r="J363" s="2" t="inlineStr">
        <is>
          <t>/assets/cards/Bauy_Spellcasting.jpeg</t>
        </is>
      </c>
      <c r="K363" s="2" t="inlineStr">
        <is>
          <t>No</t>
        </is>
      </c>
      <c r="L363" s="2" t="inlineStr">
        <is>
          <t>No</t>
        </is>
      </c>
      <c r="M363" s="2" t="inlineStr">
        <is>
          <t>No</t>
        </is>
      </c>
      <c r="N363" s="2">
        <f>IF(AND($K363="Yes",$L363="Yes",$M363="Yes"),"Yes","No")</f>
        <v/>
      </c>
      <c r="O363" s="2" t="inlineStr"/>
    </row>
    <row r="364">
      <c r="A364" s="2" t="inlineStr">
        <is>
          <t>CARD-00356</t>
        </is>
      </c>
      <c r="B364" s="2" t="inlineStr">
        <is>
          <t>Rai-Bau</t>
        </is>
      </c>
      <c r="C364" s="2" t="inlineStr">
        <is>
          <t>CHST</t>
        </is>
      </c>
      <c r="D364" s="2" t="inlineStr">
        <is>
          <t>038</t>
        </is>
      </c>
      <c r="E364" s="2" t="inlineStr">
        <is>
          <t>Chronicles of the Starborn</t>
        </is>
      </c>
      <c r="F364" s="2" t="inlineStr">
        <is>
          <t>Trap</t>
        </is>
      </c>
      <c r="G364" s="2" t="inlineStr">
        <is>
          <t>Trap / Counter</t>
        </is>
      </c>
      <c r="H364" s="2" t="inlineStr">
        <is>
          <t>Bau</t>
        </is>
      </c>
      <c r="I364" s="2" t="inlineStr">
        <is>
          <t>2025-11-19</t>
        </is>
      </c>
      <c r="J364" s="2" t="inlineStr">
        <is>
          <t>/assets/cards/Rai-Bau.jpeg</t>
        </is>
      </c>
      <c r="K364" s="2" t="inlineStr">
        <is>
          <t>No</t>
        </is>
      </c>
      <c r="L364" s="2" t="inlineStr">
        <is>
          <t>No</t>
        </is>
      </c>
      <c r="M364" s="2" t="inlineStr">
        <is>
          <t>No</t>
        </is>
      </c>
      <c r="N364" s="2">
        <f>IF(AND($K364="Yes",$L364="Yes",$M364="Yes"),"Yes","No")</f>
        <v/>
      </c>
      <c r="O364" s="2" t="inlineStr"/>
    </row>
    <row r="365">
      <c r="A365" s="2" t="inlineStr">
        <is>
          <t>CARD-00357</t>
        </is>
      </c>
      <c r="B365" s="2" t="inlineStr">
        <is>
          <t>Bauy Emergency Room!</t>
        </is>
      </c>
      <c r="C365" s="2" t="inlineStr">
        <is>
          <t>CHST</t>
        </is>
      </c>
      <c r="D365" s="2" t="inlineStr">
        <is>
          <t>039</t>
        </is>
      </c>
      <c r="E365" s="2" t="inlineStr">
        <is>
          <t>Chronicles of the Starborn</t>
        </is>
      </c>
      <c r="F365" s="2" t="inlineStr">
        <is>
          <t>Spell</t>
        </is>
      </c>
      <c r="G365" s="2" t="inlineStr">
        <is>
          <t>Spell / Continuous</t>
        </is>
      </c>
      <c r="H365" s="2" t="inlineStr">
        <is>
          <t>Bau</t>
        </is>
      </c>
      <c r="I365" s="2" t="inlineStr">
        <is>
          <t>2025-11-19</t>
        </is>
      </c>
      <c r="J365" s="2" t="inlineStr">
        <is>
          <t>/assets/cards/Bauy_Emergency_Room_.jpeg</t>
        </is>
      </c>
      <c r="K365" s="2" t="inlineStr">
        <is>
          <t>No</t>
        </is>
      </c>
      <c r="L365" s="2" t="inlineStr">
        <is>
          <t>No</t>
        </is>
      </c>
      <c r="M365" s="2" t="inlineStr">
        <is>
          <t>No</t>
        </is>
      </c>
      <c r="N365" s="2">
        <f>IF(AND($K365="Yes",$L365="Yes",$M365="Yes"),"Yes","No")</f>
        <v/>
      </c>
      <c r="O365" s="2" t="inlineStr"/>
    </row>
    <row r="366">
      <c r="A366" s="2" t="inlineStr">
        <is>
          <t>CCG-00358</t>
        </is>
      </c>
      <c r="B366" s="2" t="inlineStr">
        <is>
          <t>Bhodi, The Corrupted Halloween Tree</t>
        </is>
      </c>
      <c r="C366" s="2" t="inlineStr">
        <is>
          <t>PHPA</t>
        </is>
      </c>
      <c r="D366" s="2" t="inlineStr">
        <is>
          <t>001</t>
        </is>
      </c>
      <c r="E366" s="2" t="inlineStr">
        <is>
          <t>Phantom Parade</t>
        </is>
      </c>
      <c r="F366" s="2" t="inlineStr">
        <is>
          <t>Monster</t>
        </is>
      </c>
      <c r="G366" s="2" t="inlineStr">
        <is>
          <t>Plant / Effect / Fusion</t>
        </is>
      </c>
      <c r="H366" s="2" t="inlineStr"/>
      <c r="I366" s="2" t="inlineStr">
        <is>
          <t>2025-11-01</t>
        </is>
      </c>
      <c r="J366" s="2" t="inlineStr">
        <is>
          <t>/assets/cards/Bhodi_The_Corrupted_Halloween_Tree.jpeg</t>
        </is>
      </c>
      <c r="K366" s="2" t="inlineStr">
        <is>
          <t>No</t>
        </is>
      </c>
      <c r="L366" s="2" t="inlineStr">
        <is>
          <t>No</t>
        </is>
      </c>
      <c r="M366" s="2" t="inlineStr">
        <is>
          <t>No</t>
        </is>
      </c>
      <c r="N366" s="2">
        <f>IF(AND($K366="Yes",$L366="Yes",$M366="Yes"),"Yes","No")</f>
        <v/>
      </c>
      <c r="O366" s="2" t="inlineStr"/>
    </row>
    <row r="367">
      <c r="A367" s="2" t="inlineStr">
        <is>
          <t>CCG-00359</t>
        </is>
      </c>
      <c r="B367" s="2" t="inlineStr">
        <is>
          <t>Toddler Pumpkien</t>
        </is>
      </c>
      <c r="C367" s="2" t="inlineStr">
        <is>
          <t>PHPA</t>
        </is>
      </c>
      <c r="D367" s="2" t="inlineStr">
        <is>
          <t>002</t>
        </is>
      </c>
      <c r="E367" s="2" t="inlineStr">
        <is>
          <t>Phantom Parade</t>
        </is>
      </c>
      <c r="F367" s="2" t="inlineStr">
        <is>
          <t>Monster</t>
        </is>
      </c>
      <c r="G367" s="2" t="inlineStr">
        <is>
          <t>Zombie / Effect / Tuner</t>
        </is>
      </c>
      <c r="H367" s="2" t="inlineStr"/>
      <c r="I367" s="2" t="inlineStr">
        <is>
          <t>2025-11-01</t>
        </is>
      </c>
      <c r="J367" s="2" t="inlineStr">
        <is>
          <t>/assets/cards/Toddler_Pumpkien.jpeg</t>
        </is>
      </c>
      <c r="K367" s="2" t="inlineStr">
        <is>
          <t>No</t>
        </is>
      </c>
      <c r="L367" s="2" t="inlineStr">
        <is>
          <t>No</t>
        </is>
      </c>
      <c r="M367" s="2" t="inlineStr">
        <is>
          <t>No</t>
        </is>
      </c>
      <c r="N367" s="2">
        <f>IF(AND($K367="Yes",$L367="Yes",$M367="Yes"),"Yes","No")</f>
        <v/>
      </c>
      <c r="O367" s="2" t="inlineStr"/>
    </row>
    <row r="368">
      <c r="A368" s="2" t="inlineStr">
        <is>
          <t>CCG-00360</t>
        </is>
      </c>
      <c r="B368" s="2" t="inlineStr">
        <is>
          <t>Dreadful Soul Drain</t>
        </is>
      </c>
      <c r="C368" s="2" t="inlineStr">
        <is>
          <t>PHPA</t>
        </is>
      </c>
      <c r="D368" s="2" t="inlineStr">
        <is>
          <t>003</t>
        </is>
      </c>
      <c r="E368" s="2" t="inlineStr">
        <is>
          <t>Phantom Parade</t>
        </is>
      </c>
      <c r="F368" s="2" t="inlineStr">
        <is>
          <t>Spell</t>
        </is>
      </c>
      <c r="G368" s="2" t="inlineStr">
        <is>
          <t>Spell / Normal</t>
        </is>
      </c>
      <c r="H368" s="2" t="inlineStr"/>
      <c r="I368" s="2" t="inlineStr">
        <is>
          <t>2025-11-01</t>
        </is>
      </c>
      <c r="J368" s="2" t="inlineStr">
        <is>
          <t>/assets/cards/Dreadful_Soul_Drain.jpeg</t>
        </is>
      </c>
      <c r="K368" s="2" t="inlineStr">
        <is>
          <t>No</t>
        </is>
      </c>
      <c r="L368" s="2" t="inlineStr">
        <is>
          <t>No</t>
        </is>
      </c>
      <c r="M368" s="2" t="inlineStr">
        <is>
          <t>No</t>
        </is>
      </c>
      <c r="N368" s="2">
        <f>IF(AND($K368="Yes",$L368="Yes",$M368="Yes"),"Yes","No")</f>
        <v/>
      </c>
      <c r="O368" s="2" t="inlineStr"/>
    </row>
    <row r="369">
      <c r="A369" s="2" t="inlineStr">
        <is>
          <t>CARD-00362</t>
        </is>
      </c>
      <c r="B369" s="2" t="inlineStr">
        <is>
          <t>BRAY, SHELL OF THE GHOTI</t>
        </is>
      </c>
      <c r="C369" s="2" t="inlineStr">
        <is>
          <t>CHST</t>
        </is>
      </c>
      <c r="D369" s="2" t="inlineStr">
        <is>
          <t>040</t>
        </is>
      </c>
      <c r="E369" s="2" t="inlineStr">
        <is>
          <t>Chronicles of the Starborn</t>
        </is>
      </c>
      <c r="F369" s="2" t="inlineStr">
        <is>
          <t>Monster</t>
        </is>
      </c>
      <c r="G369" s="2" t="inlineStr">
        <is>
          <t>Fish / Synchro / Effect</t>
        </is>
      </c>
      <c r="H369" s="2" t="inlineStr">
        <is>
          <t>Ghoti</t>
        </is>
      </c>
      <c r="I369" s="2" t="inlineStr">
        <is>
          <t>2025-11-19</t>
        </is>
      </c>
      <c r="J369" s="2" t="inlineStr">
        <is>
          <t>/assets/cards/Bray_Shell_of_the_Ghoti.jpeg</t>
        </is>
      </c>
      <c r="K369" s="2" t="inlineStr">
        <is>
          <t>No</t>
        </is>
      </c>
      <c r="L369" s="2" t="inlineStr">
        <is>
          <t>No</t>
        </is>
      </c>
      <c r="M369" s="2" t="inlineStr">
        <is>
          <t>No</t>
        </is>
      </c>
      <c r="N369" s="2">
        <f>IF(AND($K369="Yes",$L369="Yes",$M369="Yes"),"Yes","No")</f>
        <v/>
      </c>
      <c r="O369" s="2" t="inlineStr"/>
    </row>
    <row r="370">
      <c r="A370" s="2" t="inlineStr">
        <is>
          <t>CARD-00361</t>
        </is>
      </c>
      <c r="B370" s="2" t="inlineStr">
        <is>
          <t>SHEKUP, STING OF THE GHOTI</t>
        </is>
      </c>
      <c r="C370" s="2" t="inlineStr">
        <is>
          <t>CHST</t>
        </is>
      </c>
      <c r="D370" s="2" t="inlineStr">
        <is>
          <t>041</t>
        </is>
      </c>
      <c r="E370" s="2" t="inlineStr">
        <is>
          <t>Chronicles of the Starborn</t>
        </is>
      </c>
      <c r="F370" s="2" t="inlineStr">
        <is>
          <t>Monster</t>
        </is>
      </c>
      <c r="G370" s="2" t="inlineStr">
        <is>
          <t>Fish / Tuner / Effect</t>
        </is>
      </c>
      <c r="H370" s="2" t="inlineStr">
        <is>
          <t>Ghoti</t>
        </is>
      </c>
      <c r="I370" s="2" t="inlineStr">
        <is>
          <t>2025-11-19</t>
        </is>
      </c>
      <c r="J370" s="2" t="inlineStr">
        <is>
          <t>/assets/cards/Shekup_Sting_of_the_Ghoti.jpeg</t>
        </is>
      </c>
      <c r="K370" s="2" t="inlineStr">
        <is>
          <t>No</t>
        </is>
      </c>
      <c r="L370" s="2" t="inlineStr">
        <is>
          <t>No</t>
        </is>
      </c>
      <c r="M370" s="2" t="inlineStr">
        <is>
          <t>No</t>
        </is>
      </c>
      <c r="N370" s="2">
        <f>IF(AND($K370="Yes",$L370="Yes",$M370="Yes"),"Yes","No")</f>
        <v/>
      </c>
      <c r="O370" s="2" t="inlineStr"/>
    </row>
    <row r="371">
      <c r="A371" s="2" t="inlineStr">
        <is>
          <t>CARD-00363</t>
        </is>
      </c>
      <c r="B371" s="2" t="inlineStr">
        <is>
          <t>GHOTI FROM A DEEPER DEPTH THAN THE DEEPEST DEEP</t>
        </is>
      </c>
      <c r="C371" s="2" t="inlineStr">
        <is>
          <t>CHST</t>
        </is>
      </c>
      <c r="D371" s="2" t="inlineStr">
        <is>
          <t>042</t>
        </is>
      </c>
      <c r="E371" s="2" t="inlineStr">
        <is>
          <t>Chronicles of the Starborn</t>
        </is>
      </c>
      <c r="F371" s="2" t="inlineStr">
        <is>
          <t>Monster</t>
        </is>
      </c>
      <c r="G371" s="2" t="inlineStr">
        <is>
          <t>Fish / Synchro / Effect</t>
        </is>
      </c>
      <c r="H371" s="2" t="inlineStr">
        <is>
          <t>Ghoti</t>
        </is>
      </c>
      <c r="I371" s="2" t="inlineStr">
        <is>
          <t>2025-11-19</t>
        </is>
      </c>
      <c r="J371" s="2" t="inlineStr">
        <is>
          <t>/assets/cards/Ghoti_from_a_Deeper_Depth_than_the_Deepest_Deep.jpeg</t>
        </is>
      </c>
      <c r="K371" s="2" t="inlineStr">
        <is>
          <t>No</t>
        </is>
      </c>
      <c r="L371" s="2" t="inlineStr">
        <is>
          <t>No</t>
        </is>
      </c>
      <c r="M371" s="2" t="inlineStr">
        <is>
          <t>No</t>
        </is>
      </c>
      <c r="N371" s="2">
        <f>IF(AND($K371="Yes",$L371="Yes",$M371="Yes"),"Yes","No")</f>
        <v/>
      </c>
      <c r="O371" s="2" t="inlineStr"/>
    </row>
    <row r="372">
      <c r="A372" s="2" t="inlineStr">
        <is>
          <t>CCG-00364</t>
        </is>
      </c>
      <c r="B372" s="2" t="inlineStr">
        <is>
          <t>Myutant EL-51</t>
        </is>
      </c>
      <c r="C372" s="2" t="inlineStr">
        <is>
          <t>PHPA</t>
        </is>
      </c>
      <c r="D372" s="2" t="inlineStr">
        <is>
          <t>004</t>
        </is>
      </c>
      <c r="E372" s="2" t="inlineStr">
        <is>
          <t>Phantom Parade</t>
        </is>
      </c>
      <c r="F372" s="2" t="inlineStr">
        <is>
          <t>Monster</t>
        </is>
      </c>
      <c r="G372" s="2" t="inlineStr">
        <is>
          <t>Psychic / Effect</t>
        </is>
      </c>
      <c r="H372" s="2" t="inlineStr">
        <is>
          <t>Myutant</t>
        </is>
      </c>
      <c r="I372" s="2" t="inlineStr">
        <is>
          <t>2025-11-01</t>
        </is>
      </c>
      <c r="J372" s="2" t="inlineStr">
        <is>
          <t>/assets/cards/Myutant_EL-51.jpeg</t>
        </is>
      </c>
      <c r="K372" s="2" t="inlineStr">
        <is>
          <t>No</t>
        </is>
      </c>
      <c r="L372" s="2" t="inlineStr">
        <is>
          <t>No</t>
        </is>
      </c>
      <c r="M372" s="2" t="inlineStr">
        <is>
          <t>No</t>
        </is>
      </c>
      <c r="N372" s="2">
        <f>IF(AND($K372="Yes",$L372="Yes",$M372="Yes"),"Yes","No")</f>
        <v/>
      </c>
      <c r="O372" s="2" t="inlineStr"/>
    </row>
    <row r="373">
      <c r="A373" s="2" t="inlineStr">
        <is>
          <t>CCG-00365</t>
        </is>
      </c>
      <c r="B373" s="2" t="inlineStr">
        <is>
          <t>Myutant Evolution</t>
        </is>
      </c>
      <c r="C373" s="2" t="inlineStr">
        <is>
          <t>PHPA</t>
        </is>
      </c>
      <c r="D373" s="2" t="inlineStr">
        <is>
          <t>005</t>
        </is>
      </c>
      <c r="E373" s="2" t="inlineStr">
        <is>
          <t>Phantom Parade</t>
        </is>
      </c>
      <c r="F373" s="2" t="inlineStr">
        <is>
          <t>Spell</t>
        </is>
      </c>
      <c r="G373" s="2" t="inlineStr">
        <is>
          <t>Spell / Continuous</t>
        </is>
      </c>
      <c r="H373" s="2" t="inlineStr">
        <is>
          <t>Myutant</t>
        </is>
      </c>
      <c r="I373" s="2" t="inlineStr">
        <is>
          <t>2025-11-01</t>
        </is>
      </c>
      <c r="J373" s="2" t="inlineStr">
        <is>
          <t>/assets/cards/Myutant_Evolution.jpeg</t>
        </is>
      </c>
      <c r="K373" s="2" t="inlineStr">
        <is>
          <t>No</t>
        </is>
      </c>
      <c r="L373" s="2" t="inlineStr">
        <is>
          <t>No</t>
        </is>
      </c>
      <c r="M373" s="2" t="inlineStr">
        <is>
          <t>No</t>
        </is>
      </c>
      <c r="N373" s="2">
        <f>IF(AND($K373="Yes",$L373="Yes",$M373="Yes"),"Yes","No")</f>
        <v/>
      </c>
      <c r="O373" s="2" t="inlineStr"/>
    </row>
    <row r="374">
      <c r="A374" s="2" t="inlineStr">
        <is>
          <t>CCG-00366</t>
        </is>
      </c>
      <c r="B374" s="2" t="inlineStr">
        <is>
          <t>Myutant Amalgamate</t>
        </is>
      </c>
      <c r="C374" s="2" t="inlineStr">
        <is>
          <t>PHPA</t>
        </is>
      </c>
      <c r="D374" s="2" t="inlineStr">
        <is>
          <t>006</t>
        </is>
      </c>
      <c r="E374" s="2" t="inlineStr">
        <is>
          <t>Phantom Parade</t>
        </is>
      </c>
      <c r="F374" s="2" t="inlineStr">
        <is>
          <t>Monster</t>
        </is>
      </c>
      <c r="G374" s="2" t="inlineStr">
        <is>
          <t>Psychic / Effect / Fusion</t>
        </is>
      </c>
      <c r="H374" s="2" t="inlineStr">
        <is>
          <t>Myutant</t>
        </is>
      </c>
      <c r="I374" s="2" t="inlineStr">
        <is>
          <t>2025-11-01</t>
        </is>
      </c>
      <c r="J374" s="2" t="inlineStr">
        <is>
          <t>/assets/cards/Myutant_Amalgamate.jpeg</t>
        </is>
      </c>
      <c r="K374" s="2" t="inlineStr">
        <is>
          <t>No</t>
        </is>
      </c>
      <c r="L374" s="2" t="inlineStr">
        <is>
          <t>No</t>
        </is>
      </c>
      <c r="M374" s="2" t="inlineStr">
        <is>
          <t>No</t>
        </is>
      </c>
      <c r="N374" s="2">
        <f>IF(AND($K374="Yes",$L374="Yes",$M374="Yes"),"Yes","No")</f>
        <v/>
      </c>
      <c r="O374" s="2" t="inlineStr"/>
    </row>
    <row r="375">
      <c r="A375" s="2" t="inlineStr">
        <is>
          <t>CCG-00367</t>
        </is>
      </c>
      <c r="B375" s="2" t="inlineStr">
        <is>
          <t>Pumpqueen the Queen of Ghosts</t>
        </is>
      </c>
      <c r="C375" s="2" t="inlineStr">
        <is>
          <t>PHPA</t>
        </is>
      </c>
      <c r="D375" s="2" t="inlineStr">
        <is>
          <t>007</t>
        </is>
      </c>
      <c r="E375" s="2" t="inlineStr">
        <is>
          <t>Phantom Parade</t>
        </is>
      </c>
      <c r="F375" s="2" t="inlineStr">
        <is>
          <t>Monster</t>
        </is>
      </c>
      <c r="G375" s="2" t="inlineStr">
        <is>
          <t>Zombie / Effect</t>
        </is>
      </c>
      <c r="H375" s="2" t="inlineStr">
        <is>
          <t>Pumpkin</t>
        </is>
      </c>
      <c r="I375" s="2" t="inlineStr">
        <is>
          <t>2025-11-01</t>
        </is>
      </c>
      <c r="J375" s="2" t="inlineStr">
        <is>
          <t>/assets/cards/Pumpqueen_the_Queen_of_Ghosts.jpeg</t>
        </is>
      </c>
      <c r="K375" s="2" t="inlineStr">
        <is>
          <t>No</t>
        </is>
      </c>
      <c r="L375" s="2" t="inlineStr">
        <is>
          <t>No</t>
        </is>
      </c>
      <c r="M375" s="2" t="inlineStr">
        <is>
          <t>No</t>
        </is>
      </c>
      <c r="N375" s="2">
        <f>IF(AND($K375="Yes",$L375="Yes",$M375="Yes"),"Yes","No")</f>
        <v/>
      </c>
      <c r="O375" s="2" t="inlineStr"/>
    </row>
    <row r="376">
      <c r="A376" s="2" t="inlineStr">
        <is>
          <t>CCG-00368</t>
        </is>
      </c>
      <c r="B376" s="2" t="inlineStr">
        <is>
          <t>Pumprince the Prince of Ghosts</t>
        </is>
      </c>
      <c r="C376" s="2" t="inlineStr">
        <is>
          <t>PHPA</t>
        </is>
      </c>
      <c r="D376" s="2" t="inlineStr">
        <is>
          <t>008</t>
        </is>
      </c>
      <c r="E376" s="2" t="inlineStr">
        <is>
          <t>Phantom Parade</t>
        </is>
      </c>
      <c r="F376" s="2" t="inlineStr">
        <is>
          <t>Monster</t>
        </is>
      </c>
      <c r="G376" s="2" t="inlineStr">
        <is>
          <t>Zombie / Effect</t>
        </is>
      </c>
      <c r="H376" s="2" t="inlineStr">
        <is>
          <t>Pumpkin</t>
        </is>
      </c>
      <c r="I376" s="2" t="inlineStr">
        <is>
          <t>2025-11-01</t>
        </is>
      </c>
      <c r="J376" s="2" t="inlineStr">
        <is>
          <t>/assets/cards/Pumprince_the_Prince_of_Ghosts.jpeg</t>
        </is>
      </c>
      <c r="K376" s="2" t="inlineStr">
        <is>
          <t>No</t>
        </is>
      </c>
      <c r="L376" s="2" t="inlineStr">
        <is>
          <t>No</t>
        </is>
      </c>
      <c r="M376" s="2" t="inlineStr">
        <is>
          <t>No</t>
        </is>
      </c>
      <c r="N376" s="2">
        <f>IF(AND($K376="Yes",$L376="Yes",$M376="Yes"),"Yes","No")</f>
        <v/>
      </c>
      <c r="O376" s="2" t="inlineStr"/>
    </row>
    <row r="377">
      <c r="A377" s="2" t="inlineStr">
        <is>
          <t>CCG-00369</t>
        </is>
      </c>
      <c r="B377" s="2" t="inlineStr">
        <is>
          <t>Hallo, The Giver of Tricks</t>
        </is>
      </c>
      <c r="C377" s="2" t="inlineStr">
        <is>
          <t>PHPA</t>
        </is>
      </c>
      <c r="D377" s="2" t="inlineStr">
        <is>
          <t>009</t>
        </is>
      </c>
      <c r="E377" s="2" t="inlineStr">
        <is>
          <t>Phantom Parade</t>
        </is>
      </c>
      <c r="F377" s="2" t="inlineStr">
        <is>
          <t>Monster</t>
        </is>
      </c>
      <c r="G377" s="2" t="inlineStr">
        <is>
          <t>Fiend / Effect</t>
        </is>
      </c>
      <c r="H377" s="2" t="inlineStr">
        <is>
          <t>Hallo-Ween!</t>
        </is>
      </c>
      <c r="I377" s="2" t="inlineStr">
        <is>
          <t>2025-11-01</t>
        </is>
      </c>
      <c r="J377" s="2" t="inlineStr">
        <is>
          <t>/assets/cards/Hallo_The_Giver_of_Tricks.jpeg</t>
        </is>
      </c>
      <c r="K377" s="2" t="inlineStr">
        <is>
          <t>No</t>
        </is>
      </c>
      <c r="L377" s="2" t="inlineStr">
        <is>
          <t>No</t>
        </is>
      </c>
      <c r="M377" s="2" t="inlineStr">
        <is>
          <t>No</t>
        </is>
      </c>
      <c r="N377" s="2">
        <f>IF(AND($K377="Yes",$L377="Yes",$M377="Yes"),"Yes","No")</f>
        <v/>
      </c>
      <c r="O377" s="2" t="inlineStr"/>
    </row>
    <row r="378">
      <c r="A378" s="2" t="inlineStr">
        <is>
          <t>CCG-00370</t>
        </is>
      </c>
      <c r="B378" s="2" t="inlineStr">
        <is>
          <t>Ween, Guidance to Treats</t>
        </is>
      </c>
      <c r="C378" s="2" t="inlineStr">
        <is>
          <t>PHPA</t>
        </is>
      </c>
      <c r="D378" s="2" t="inlineStr">
        <is>
          <t>010</t>
        </is>
      </c>
      <c r="E378" s="2" t="inlineStr">
        <is>
          <t>Phantom Parade</t>
        </is>
      </c>
      <c r="F378" s="2" t="inlineStr">
        <is>
          <t>Monster</t>
        </is>
      </c>
      <c r="G378" s="2" t="inlineStr">
        <is>
          <t>Zombie / Effect</t>
        </is>
      </c>
      <c r="H378" s="2" t="inlineStr">
        <is>
          <t>Hallo-Ween!</t>
        </is>
      </c>
      <c r="I378" s="2" t="inlineStr">
        <is>
          <t>2025-11-01</t>
        </is>
      </c>
      <c r="J378" s="2" t="inlineStr">
        <is>
          <t>/assets/cards/Ween_Guidance_to_Treats.jpeg</t>
        </is>
      </c>
      <c r="K378" s="2" t="inlineStr">
        <is>
          <t>No</t>
        </is>
      </c>
      <c r="L378" s="2" t="inlineStr">
        <is>
          <t>No</t>
        </is>
      </c>
      <c r="M378" s="2" t="inlineStr">
        <is>
          <t>No</t>
        </is>
      </c>
      <c r="N378" s="2">
        <f>IF(AND($K378="Yes",$L378="Yes",$M378="Yes"),"Yes","No")</f>
        <v/>
      </c>
      <c r="O378" s="2" t="inlineStr"/>
    </row>
    <row r="379">
      <c r="A379" s="2" t="inlineStr">
        <is>
          <t>CCG-00371</t>
        </is>
      </c>
      <c r="B379" s="2" t="inlineStr">
        <is>
          <t>Hallo, The Hollow Trickster</t>
        </is>
      </c>
      <c r="C379" s="2" t="inlineStr">
        <is>
          <t>PHPA</t>
        </is>
      </c>
      <c r="D379" s="2" t="inlineStr">
        <is>
          <t>011</t>
        </is>
      </c>
      <c r="E379" s="2" t="inlineStr">
        <is>
          <t>Phantom Parade</t>
        </is>
      </c>
      <c r="F379" s="2" t="inlineStr">
        <is>
          <t>Monster</t>
        </is>
      </c>
      <c r="G379" s="2" t="inlineStr">
        <is>
          <t>Fiend / Effect</t>
        </is>
      </c>
      <c r="H379" s="2" t="inlineStr">
        <is>
          <t>Hallo-Ween!</t>
        </is>
      </c>
      <c r="I379" s="2" t="inlineStr">
        <is>
          <t>2025-11-01</t>
        </is>
      </c>
      <c r="J379" s="2" t="inlineStr">
        <is>
          <t>/assets/cards/Hallo_The_Hollow_Trickster.jpeg</t>
        </is>
      </c>
      <c r="K379" s="2" t="inlineStr">
        <is>
          <t>No</t>
        </is>
      </c>
      <c r="L379" s="2" t="inlineStr">
        <is>
          <t>No</t>
        </is>
      </c>
      <c r="M379" s="2" t="inlineStr">
        <is>
          <t>No</t>
        </is>
      </c>
      <c r="N379" s="2">
        <f>IF(AND($K379="Yes",$L379="Yes",$M379="Yes"),"Yes","No")</f>
        <v/>
      </c>
      <c r="O379" s="2" t="inlineStr"/>
    </row>
    <row r="380">
      <c r="A380" s="2" t="inlineStr">
        <is>
          <t>CCG-00372</t>
        </is>
      </c>
      <c r="B380" s="2" t="inlineStr">
        <is>
          <t>Hallo-Ween! Basket of Treats</t>
        </is>
      </c>
      <c r="C380" s="2" t="inlineStr">
        <is>
          <t>PHPA</t>
        </is>
      </c>
      <c r="D380" s="2" t="inlineStr">
        <is>
          <t>012</t>
        </is>
      </c>
      <c r="E380" s="2" t="inlineStr">
        <is>
          <t>Phantom Parade</t>
        </is>
      </c>
      <c r="F380" s="2" t="inlineStr">
        <is>
          <t>Spell</t>
        </is>
      </c>
      <c r="G380" s="2" t="inlineStr">
        <is>
          <t>Spell / Quick-Play</t>
        </is>
      </c>
      <c r="H380" s="2" t="inlineStr">
        <is>
          <t>Hallo-Ween!</t>
        </is>
      </c>
      <c r="I380" s="2" t="inlineStr">
        <is>
          <t>2025-11-01</t>
        </is>
      </c>
      <c r="J380" s="2" t="inlineStr">
        <is>
          <t>/assets/cards/Hallo-Ween_Basket_of_Treats.jpeg</t>
        </is>
      </c>
      <c r="K380" s="2" t="inlineStr">
        <is>
          <t>No</t>
        </is>
      </c>
      <c r="L380" s="2" t="inlineStr">
        <is>
          <t>No</t>
        </is>
      </c>
      <c r="M380" s="2" t="inlineStr">
        <is>
          <t>No</t>
        </is>
      </c>
      <c r="N380" s="2">
        <f>IF(AND($K380="Yes",$L380="Yes",$M380="Yes"),"Yes","No")</f>
        <v/>
      </c>
      <c r="O380" s="2" t="inlineStr"/>
    </row>
    <row r="381">
      <c r="A381" s="2" t="inlineStr">
        <is>
          <t>CCG-00373</t>
        </is>
      </c>
      <c r="B381" s="2" t="inlineStr">
        <is>
          <t>Happy Hallo-Ween!</t>
        </is>
      </c>
      <c r="C381" s="2" t="inlineStr">
        <is>
          <t>PHPA</t>
        </is>
      </c>
      <c r="D381" s="2" t="inlineStr">
        <is>
          <t>013</t>
        </is>
      </c>
      <c r="E381" s="2" t="inlineStr">
        <is>
          <t>Phantom Parade</t>
        </is>
      </c>
      <c r="F381" s="2" t="inlineStr">
        <is>
          <t>Spell</t>
        </is>
      </c>
      <c r="G381" s="2" t="inlineStr">
        <is>
          <t>Spell / Continuous</t>
        </is>
      </c>
      <c r="H381" s="2" t="inlineStr">
        <is>
          <t>Hallo-Ween!</t>
        </is>
      </c>
      <c r="I381" s="2" t="inlineStr">
        <is>
          <t>2025-11-01</t>
        </is>
      </c>
      <c r="J381" s="2" t="inlineStr">
        <is>
          <t>/assets/cards/Happy_Hallo-Ween.jpeg</t>
        </is>
      </c>
      <c r="K381" s="2" t="inlineStr">
        <is>
          <t>No</t>
        </is>
      </c>
      <c r="L381" s="2" t="inlineStr">
        <is>
          <t>No</t>
        </is>
      </c>
      <c r="M381" s="2" t="inlineStr">
        <is>
          <t>No</t>
        </is>
      </c>
      <c r="N381" s="2">
        <f>IF(AND($K381="Yes",$L381="Yes",$M381="Yes"),"Yes","No")</f>
        <v/>
      </c>
      <c r="O381" s="2" t="inlineStr"/>
    </row>
    <row r="382">
      <c r="A382" s="2" t="inlineStr">
        <is>
          <t>CCG-0X373</t>
        </is>
      </c>
      <c r="B382" s="2" t="inlineStr">
        <is>
          <t>A Night of Fright on Hallo-Ween!</t>
        </is>
      </c>
      <c r="C382" s="2" t="inlineStr">
        <is>
          <t>PHPA</t>
        </is>
      </c>
      <c r="D382" s="2" t="inlineStr">
        <is>
          <t>014</t>
        </is>
      </c>
      <c r="E382" s="2" t="inlineStr">
        <is>
          <t>Phantom Parade</t>
        </is>
      </c>
      <c r="F382" s="2" t="inlineStr">
        <is>
          <t>Trap</t>
        </is>
      </c>
      <c r="G382" s="2" t="inlineStr">
        <is>
          <t>Trap / Normal</t>
        </is>
      </c>
      <c r="H382" s="2" t="inlineStr">
        <is>
          <t>Hallo-Ween!</t>
        </is>
      </c>
      <c r="I382" s="2" t="inlineStr">
        <is>
          <t>2025-11-01</t>
        </is>
      </c>
      <c r="J382" s="2" t="inlineStr">
        <is>
          <t>/assets/cards/A_Night_of_Fright_on_Hallo-Ween_1.jpeg</t>
        </is>
      </c>
      <c r="K382" s="2" t="inlineStr">
        <is>
          <t>No</t>
        </is>
      </c>
      <c r="L382" s="2" t="inlineStr">
        <is>
          <t>No</t>
        </is>
      </c>
      <c r="M382" s="2" t="inlineStr">
        <is>
          <t>No</t>
        </is>
      </c>
      <c r="N382" s="2">
        <f>IF(AND($K382="Yes",$L382="Yes",$M382="Yes"),"Yes","No")</f>
        <v/>
      </c>
      <c r="O382" s="2" t="inlineStr"/>
    </row>
    <row r="383">
      <c r="A383" s="2" t="inlineStr">
        <is>
          <t>CCG-00374</t>
        </is>
      </c>
      <c r="B383" s="2" t="inlineStr">
        <is>
          <t>Skewy! Boo Boo</t>
        </is>
      </c>
      <c r="C383" s="2" t="inlineStr">
        <is>
          <t>PHPA</t>
        </is>
      </c>
      <c r="D383" s="2" t="inlineStr">
        <is>
          <t>015</t>
        </is>
      </c>
      <c r="E383" s="2" t="inlineStr">
        <is>
          <t>Phantom Parade</t>
        </is>
      </c>
      <c r="F383" s="2" t="inlineStr">
        <is>
          <t>Monster</t>
        </is>
      </c>
      <c r="G383" s="2" t="inlineStr">
        <is>
          <t>Fairy / Effect</t>
        </is>
      </c>
      <c r="H383" s="2" t="inlineStr">
        <is>
          <t>Skewy!</t>
        </is>
      </c>
      <c r="I383" s="2" t="inlineStr">
        <is>
          <t>2025-11-01</t>
        </is>
      </c>
      <c r="J383" s="2" t="inlineStr">
        <is>
          <t>/assets/cards/Skewy_Boo_Boo.jpeg</t>
        </is>
      </c>
      <c r="K383" s="2" t="inlineStr">
        <is>
          <t>No</t>
        </is>
      </c>
      <c r="L383" s="2" t="inlineStr">
        <is>
          <t>No</t>
        </is>
      </c>
      <c r="M383" s="2" t="inlineStr">
        <is>
          <t>No</t>
        </is>
      </c>
      <c r="N383" s="2">
        <f>IF(AND($K383="Yes",$L383="Yes",$M383="Yes"),"Yes","No")</f>
        <v/>
      </c>
      <c r="O383" s="2" t="inlineStr"/>
    </row>
    <row r="384">
      <c r="A384" s="2" t="inlineStr">
        <is>
          <t>CCG-00375</t>
        </is>
      </c>
      <c r="B384" s="2" t="inlineStr">
        <is>
          <t>Skewy! Candee Hex</t>
        </is>
      </c>
      <c r="C384" s="2" t="inlineStr">
        <is>
          <t>PHPA</t>
        </is>
      </c>
      <c r="D384" s="2" t="inlineStr">
        <is>
          <t>016</t>
        </is>
      </c>
      <c r="E384" s="2" t="inlineStr">
        <is>
          <t>Phantom Parade</t>
        </is>
      </c>
      <c r="F384" s="2" t="inlineStr">
        <is>
          <t>Monster</t>
        </is>
      </c>
      <c r="G384" s="2" t="inlineStr">
        <is>
          <t>Fairy / Effect</t>
        </is>
      </c>
      <c r="H384" s="2" t="inlineStr">
        <is>
          <t>Skewy!</t>
        </is>
      </c>
      <c r="I384" s="2" t="inlineStr">
        <is>
          <t>2025-11-01</t>
        </is>
      </c>
      <c r="J384" s="2" t="inlineStr">
        <is>
          <t>/assets/cards/Skewy_Candee_Hex.jpeg</t>
        </is>
      </c>
      <c r="K384" s="2" t="inlineStr">
        <is>
          <t>No</t>
        </is>
      </c>
      <c r="L384" s="2" t="inlineStr">
        <is>
          <t>No</t>
        </is>
      </c>
      <c r="M384" s="2" t="inlineStr">
        <is>
          <t>No</t>
        </is>
      </c>
      <c r="N384" s="2">
        <f>IF(AND($K384="Yes",$L384="Yes",$M384="Yes"),"Yes","No")</f>
        <v/>
      </c>
      <c r="O384" s="2" t="inlineStr"/>
    </row>
    <row r="385">
      <c r="A385" s="2" t="inlineStr">
        <is>
          <t>CCG-00376</t>
        </is>
      </c>
      <c r="B385" s="2" t="inlineStr">
        <is>
          <t>Skewy! Pumpki-Pal</t>
        </is>
      </c>
      <c r="C385" s="2" t="inlineStr">
        <is>
          <t>PHPA</t>
        </is>
      </c>
      <c r="D385" s="2" t="inlineStr">
        <is>
          <t>017</t>
        </is>
      </c>
      <c r="E385" s="2" t="inlineStr">
        <is>
          <t>Phantom Parade</t>
        </is>
      </c>
      <c r="F385" s="2" t="inlineStr">
        <is>
          <t>Monster</t>
        </is>
      </c>
      <c r="G385" s="2" t="inlineStr">
        <is>
          <t>Fairy / Effect</t>
        </is>
      </c>
      <c r="H385" s="2" t="inlineStr">
        <is>
          <t>Skewy!</t>
        </is>
      </c>
      <c r="I385" s="2" t="inlineStr">
        <is>
          <t>2025-11-01</t>
        </is>
      </c>
      <c r="J385" s="2" t="inlineStr">
        <is>
          <t>/assets/cards/Skewy_Pumpki-Pal_1.jpeg</t>
        </is>
      </c>
      <c r="K385" s="2" t="inlineStr">
        <is>
          <t>No</t>
        </is>
      </c>
      <c r="L385" s="2" t="inlineStr">
        <is>
          <t>No</t>
        </is>
      </c>
      <c r="M385" s="2" t="inlineStr">
        <is>
          <t>No</t>
        </is>
      </c>
      <c r="N385" s="2">
        <f>IF(AND($K385="Yes",$L385="Yes",$M385="Yes"),"Yes","No")</f>
        <v/>
      </c>
      <c r="O385" s="2" t="inlineStr"/>
    </row>
    <row r="386">
      <c r="A386" s="2" t="inlineStr">
        <is>
          <t>CCG-00377</t>
        </is>
      </c>
      <c r="B386" s="2" t="inlineStr">
        <is>
          <t>Skewy! Twick-or-Tweat</t>
        </is>
      </c>
      <c r="C386" s="2" t="inlineStr">
        <is>
          <t>PHPA</t>
        </is>
      </c>
      <c r="D386" s="2" t="inlineStr">
        <is>
          <t>018</t>
        </is>
      </c>
      <c r="E386" s="2" t="inlineStr">
        <is>
          <t>Phantom Parade</t>
        </is>
      </c>
      <c r="F386" s="2" t="inlineStr">
        <is>
          <t>Spell</t>
        </is>
      </c>
      <c r="G386" s="2" t="inlineStr">
        <is>
          <t>Spell / Quick-Play</t>
        </is>
      </c>
      <c r="H386" s="2" t="inlineStr">
        <is>
          <t>Skewy!</t>
        </is>
      </c>
      <c r="I386" s="2" t="inlineStr">
        <is>
          <t>2025-11-01</t>
        </is>
      </c>
      <c r="J386" s="2" t="inlineStr">
        <is>
          <t>/assets/cards/Skewy_Twick-or-Tweat.jpeg</t>
        </is>
      </c>
      <c r="K386" s="2" t="inlineStr">
        <is>
          <t>No</t>
        </is>
      </c>
      <c r="L386" s="2" t="inlineStr">
        <is>
          <t>No</t>
        </is>
      </c>
      <c r="M386" s="2" t="inlineStr">
        <is>
          <t>No</t>
        </is>
      </c>
      <c r="N386" s="2">
        <f>IF(AND($K386="Yes",$L386="Yes",$M386="Yes"),"Yes","No")</f>
        <v/>
      </c>
      <c r="O386" s="2" t="inlineStr"/>
    </row>
    <row r="387">
      <c r="A387" s="2" t="inlineStr">
        <is>
          <t>CCG-00378</t>
        </is>
      </c>
      <c r="B387" s="2" t="inlineStr">
        <is>
          <t>Skewy! Pawty Tyme</t>
        </is>
      </c>
      <c r="C387" s="2" t="inlineStr">
        <is>
          <t>PHPA</t>
        </is>
      </c>
      <c r="D387" s="2" t="inlineStr">
        <is>
          <t>019</t>
        </is>
      </c>
      <c r="E387" s="2" t="inlineStr">
        <is>
          <t>Phantom Parade</t>
        </is>
      </c>
      <c r="F387" s="2" t="inlineStr">
        <is>
          <t>Trap</t>
        </is>
      </c>
      <c r="G387" s="2" t="inlineStr">
        <is>
          <t>Trap / Counter</t>
        </is>
      </c>
      <c r="H387" s="2" t="inlineStr">
        <is>
          <t>Skewy!</t>
        </is>
      </c>
      <c r="I387" s="2" t="inlineStr">
        <is>
          <t>2025-11-01</t>
        </is>
      </c>
      <c r="J387" s="2" t="inlineStr">
        <is>
          <t>/assets/cards/Skewy_Pawty_Tyme_1.jpeg</t>
        </is>
      </c>
      <c r="K387" s="2" t="inlineStr">
        <is>
          <t>No</t>
        </is>
      </c>
      <c r="L387" s="2" t="inlineStr">
        <is>
          <t>No</t>
        </is>
      </c>
      <c r="M387" s="2" t="inlineStr">
        <is>
          <t>No</t>
        </is>
      </c>
      <c r="N387" s="2">
        <f>IF(AND($K387="Yes",$L387="Yes",$M387="Yes"),"Yes","No")</f>
        <v/>
      </c>
      <c r="O387" s="2" t="inlineStr"/>
    </row>
    <row r="388">
      <c r="A388" s="2" t="inlineStr">
        <is>
          <t>CCG-00379</t>
        </is>
      </c>
      <c r="B388" s="2" t="inlineStr">
        <is>
          <t>Crewal Cap'n</t>
        </is>
      </c>
      <c r="C388" s="2" t="inlineStr">
        <is>
          <t>PHPA</t>
        </is>
      </c>
      <c r="D388" s="2" t="inlineStr">
        <is>
          <t>020</t>
        </is>
      </c>
      <c r="E388" s="2" t="inlineStr">
        <is>
          <t>Phantom Parade</t>
        </is>
      </c>
      <c r="F388" s="2" t="inlineStr">
        <is>
          <t>Monster</t>
        </is>
      </c>
      <c r="G388" s="2" t="inlineStr">
        <is>
          <t>Zombie / Effect</t>
        </is>
      </c>
      <c r="H388" s="2" t="inlineStr">
        <is>
          <t>Crewal</t>
        </is>
      </c>
      <c r="I388" s="2" t="inlineStr">
        <is>
          <t>2025-11-01</t>
        </is>
      </c>
      <c r="J388" s="2" t="inlineStr">
        <is>
          <t>/assets/cards/Crewal_Capn.jpeg</t>
        </is>
      </c>
      <c r="K388" s="2" t="inlineStr">
        <is>
          <t>No</t>
        </is>
      </c>
      <c r="L388" s="2" t="inlineStr">
        <is>
          <t>No</t>
        </is>
      </c>
      <c r="M388" s="2" t="inlineStr">
        <is>
          <t>No</t>
        </is>
      </c>
      <c r="N388" s="2">
        <f>IF(AND($K388="Yes",$L388="Yes",$M388="Yes"),"Yes","No")</f>
        <v/>
      </c>
      <c r="O388" s="2" t="inlineStr"/>
    </row>
    <row r="389">
      <c r="A389" s="2" t="inlineStr">
        <is>
          <t>CCG-00380</t>
        </is>
      </c>
      <c r="B389" s="2" t="inlineStr">
        <is>
          <t>Crewal Crew</t>
        </is>
      </c>
      <c r="C389" s="2" t="inlineStr">
        <is>
          <t>PHPA</t>
        </is>
      </c>
      <c r="D389" s="2" t="inlineStr">
        <is>
          <t>021</t>
        </is>
      </c>
      <c r="E389" s="2" t="inlineStr">
        <is>
          <t>Phantom Parade</t>
        </is>
      </c>
      <c r="F389" s="2" t="inlineStr">
        <is>
          <t>Monster</t>
        </is>
      </c>
      <c r="G389" s="2" t="inlineStr">
        <is>
          <t>Zombie / Effect</t>
        </is>
      </c>
      <c r="H389" s="2" t="inlineStr">
        <is>
          <t>Crewal</t>
        </is>
      </c>
      <c r="I389" s="2" t="inlineStr">
        <is>
          <t>2025-11-01</t>
        </is>
      </c>
      <c r="J389" s="2" t="inlineStr">
        <is>
          <t>/assets/cards/Crewal_Crew.jpeg</t>
        </is>
      </c>
      <c r="K389" s="2" t="inlineStr">
        <is>
          <t>No</t>
        </is>
      </c>
      <c r="L389" s="2" t="inlineStr">
        <is>
          <t>No</t>
        </is>
      </c>
      <c r="M389" s="2" t="inlineStr">
        <is>
          <t>No</t>
        </is>
      </c>
      <c r="N389" s="2">
        <f>IF(AND($K389="Yes",$L389="Yes",$M389="Yes"),"Yes","No")</f>
        <v/>
      </c>
      <c r="O389" s="2" t="inlineStr"/>
    </row>
    <row r="390">
      <c r="A390" s="2" t="inlineStr">
        <is>
          <t>CCG-00381</t>
        </is>
      </c>
      <c r="B390" s="2" t="inlineStr">
        <is>
          <t>Crewal Helmsman</t>
        </is>
      </c>
      <c r="C390" s="2" t="inlineStr">
        <is>
          <t>PHPA</t>
        </is>
      </c>
      <c r="D390" s="2" t="inlineStr">
        <is>
          <t>022</t>
        </is>
      </c>
      <c r="E390" s="2" t="inlineStr">
        <is>
          <t>Phantom Parade</t>
        </is>
      </c>
      <c r="F390" s="2" t="inlineStr">
        <is>
          <t>Monster</t>
        </is>
      </c>
      <c r="G390" s="2" t="inlineStr">
        <is>
          <t>Zombie / Effect</t>
        </is>
      </c>
      <c r="H390" s="2" t="inlineStr">
        <is>
          <t>Crewal</t>
        </is>
      </c>
      <c r="I390" s="2" t="inlineStr">
        <is>
          <t>2025-11-01</t>
        </is>
      </c>
      <c r="J390" s="2" t="inlineStr">
        <is>
          <t>/assets/cards/Crewal_Helmsman.jpeg</t>
        </is>
      </c>
      <c r="K390" s="2" t="inlineStr">
        <is>
          <t>No</t>
        </is>
      </c>
      <c r="L390" s="2" t="inlineStr">
        <is>
          <t>No</t>
        </is>
      </c>
      <c r="M390" s="2" t="inlineStr">
        <is>
          <t>No</t>
        </is>
      </c>
      <c r="N390" s="2">
        <f>IF(AND($K390="Yes",$L390="Yes",$M390="Yes"),"Yes","No")</f>
        <v/>
      </c>
      <c r="O390" s="2" t="inlineStr"/>
    </row>
    <row r="391">
      <c r="A391" s="2" t="inlineStr">
        <is>
          <t>CCG-00382</t>
        </is>
      </c>
      <c r="B391" s="2" t="inlineStr">
        <is>
          <t>Crewal Sailor</t>
        </is>
      </c>
      <c r="C391" s="2" t="inlineStr">
        <is>
          <t>PHPA</t>
        </is>
      </c>
      <c r="D391" s="2" t="inlineStr">
        <is>
          <t>023</t>
        </is>
      </c>
      <c r="E391" s="2" t="inlineStr">
        <is>
          <t>Phantom Parade</t>
        </is>
      </c>
      <c r="F391" s="2" t="inlineStr">
        <is>
          <t>Monster</t>
        </is>
      </c>
      <c r="G391" s="2" t="inlineStr">
        <is>
          <t>Zombie / Effect</t>
        </is>
      </c>
      <c r="H391" s="2" t="inlineStr">
        <is>
          <t>Crewal</t>
        </is>
      </c>
      <c r="I391" s="2" t="inlineStr">
        <is>
          <t>2025-11-01</t>
        </is>
      </c>
      <c r="J391" s="2" t="inlineStr">
        <is>
          <t>/assets/cards/Crewal_Sailor.jpeg</t>
        </is>
      </c>
      <c r="K391" s="2" t="inlineStr">
        <is>
          <t>No</t>
        </is>
      </c>
      <c r="L391" s="2" t="inlineStr">
        <is>
          <t>No</t>
        </is>
      </c>
      <c r="M391" s="2" t="inlineStr">
        <is>
          <t>No</t>
        </is>
      </c>
      <c r="N391" s="2">
        <f>IF(AND($K391="Yes",$L391="Yes",$M391="Yes"),"Yes","No")</f>
        <v/>
      </c>
      <c r="O391" s="2" t="inlineStr"/>
    </row>
    <row r="392">
      <c r="A392" s="2" t="inlineStr">
        <is>
          <t>CCG-00383</t>
        </is>
      </c>
      <c r="B392" s="2" t="inlineStr">
        <is>
          <t>Morbydrip The Crewal Whale</t>
        </is>
      </c>
      <c r="C392" s="2" t="inlineStr">
        <is>
          <t>PHPA</t>
        </is>
      </c>
      <c r="D392" s="2" t="inlineStr">
        <is>
          <t>024</t>
        </is>
      </c>
      <c r="E392" s="2" t="inlineStr">
        <is>
          <t>Phantom Parade</t>
        </is>
      </c>
      <c r="F392" s="2" t="inlineStr">
        <is>
          <t>Monster</t>
        </is>
      </c>
      <c r="G392" s="2" t="inlineStr">
        <is>
          <t>Zombie / Effect</t>
        </is>
      </c>
      <c r="H392" s="2" t="inlineStr">
        <is>
          <t>Crewal</t>
        </is>
      </c>
      <c r="I392" s="2" t="inlineStr">
        <is>
          <t>2025-11-01</t>
        </is>
      </c>
      <c r="J392" s="2" t="inlineStr">
        <is>
          <t>/assets/cards/Morbydrip_The_Crewal_Whale.jpeg</t>
        </is>
      </c>
      <c r="K392" s="2" t="inlineStr">
        <is>
          <t>No</t>
        </is>
      </c>
      <c r="L392" s="2" t="inlineStr">
        <is>
          <t>No</t>
        </is>
      </c>
      <c r="M392" s="2" t="inlineStr">
        <is>
          <t>No</t>
        </is>
      </c>
      <c r="N392" s="2">
        <f>IF(AND($K392="Yes",$L392="Yes",$M392="Yes"),"Yes","No")</f>
        <v/>
      </c>
      <c r="O392" s="2" t="inlineStr"/>
    </row>
    <row r="393">
      <c r="A393" s="2" t="inlineStr">
        <is>
          <t>CCG-00384</t>
        </is>
      </c>
      <c r="B393" s="2" t="inlineStr">
        <is>
          <t>Crewal Booty</t>
        </is>
      </c>
      <c r="C393" s="2" t="inlineStr">
        <is>
          <t>PHPA</t>
        </is>
      </c>
      <c r="D393" s="2" t="inlineStr">
        <is>
          <t>025</t>
        </is>
      </c>
      <c r="E393" s="2" t="inlineStr">
        <is>
          <t>Phantom Parade</t>
        </is>
      </c>
      <c r="F393" s="2" t="inlineStr">
        <is>
          <t>Spell</t>
        </is>
      </c>
      <c r="G393" s="2" t="inlineStr">
        <is>
          <t>Spell / Continuous</t>
        </is>
      </c>
      <c r="H393" s="2" t="inlineStr">
        <is>
          <t>Crewal</t>
        </is>
      </c>
      <c r="I393" s="2" t="inlineStr">
        <is>
          <t>2025-11-01</t>
        </is>
      </c>
      <c r="J393" s="2" t="inlineStr">
        <is>
          <t>/assets/cards/Crewal_Booty.jpeg</t>
        </is>
      </c>
      <c r="K393" s="2" t="inlineStr">
        <is>
          <t>No</t>
        </is>
      </c>
      <c r="L393" s="2" t="inlineStr">
        <is>
          <t>No</t>
        </is>
      </c>
      <c r="M393" s="2" t="inlineStr">
        <is>
          <t>No</t>
        </is>
      </c>
      <c r="N393" s="2">
        <f>IF(AND($K393="Yes",$L393="Yes",$M393="Yes"),"Yes","No")</f>
        <v/>
      </c>
      <c r="O393" s="2" t="inlineStr"/>
    </row>
    <row r="394">
      <c r="A394" s="2" t="inlineStr">
        <is>
          <t>CCG-00385</t>
        </is>
      </c>
      <c r="B394" s="2" t="inlineStr">
        <is>
          <t>Crewal Meeting</t>
        </is>
      </c>
      <c r="C394" s="2" t="inlineStr">
        <is>
          <t>PHPA</t>
        </is>
      </c>
      <c r="D394" s="2" t="inlineStr">
        <is>
          <t>026</t>
        </is>
      </c>
      <c r="E394" s="2" t="inlineStr">
        <is>
          <t>Phantom Parade</t>
        </is>
      </c>
      <c r="F394" s="2" t="inlineStr">
        <is>
          <t>Spell</t>
        </is>
      </c>
      <c r="G394" s="2" t="inlineStr">
        <is>
          <t>Spell / Quick-Play</t>
        </is>
      </c>
      <c r="H394" s="2" t="inlineStr">
        <is>
          <t>Crewal</t>
        </is>
      </c>
      <c r="I394" s="2" t="inlineStr">
        <is>
          <t>2025-11-01</t>
        </is>
      </c>
      <c r="J394" s="2" t="inlineStr">
        <is>
          <t>/assets/cards/Crewal_Meeting.jpeg</t>
        </is>
      </c>
      <c r="K394" s="2" t="inlineStr">
        <is>
          <t>No</t>
        </is>
      </c>
      <c r="L394" s="2" t="inlineStr">
        <is>
          <t>No</t>
        </is>
      </c>
      <c r="M394" s="2" t="inlineStr">
        <is>
          <t>No</t>
        </is>
      </c>
      <c r="N394" s="2">
        <f>IF(AND($K394="Yes",$L394="Yes",$M394="Yes"),"Yes","No")</f>
        <v/>
      </c>
      <c r="O394" s="2" t="inlineStr"/>
    </row>
    <row r="395">
      <c r="A395" s="2" t="inlineStr">
        <is>
          <t>CCG-00386</t>
        </is>
      </c>
      <c r="B395" s="2" t="inlineStr">
        <is>
          <t>Crewal Tide</t>
        </is>
      </c>
      <c r="C395" s="2" t="inlineStr">
        <is>
          <t>PHPA</t>
        </is>
      </c>
      <c r="D395" s="2" t="inlineStr">
        <is>
          <t>027</t>
        </is>
      </c>
      <c r="E395" s="2" t="inlineStr">
        <is>
          <t>Phantom Parade</t>
        </is>
      </c>
      <c r="F395" s="2" t="inlineStr">
        <is>
          <t>Spell</t>
        </is>
      </c>
      <c r="G395" s="2" t="inlineStr">
        <is>
          <t>Spell / Field</t>
        </is>
      </c>
      <c r="H395" s="2" t="inlineStr">
        <is>
          <t>Crewal</t>
        </is>
      </c>
      <c r="I395" s="2" t="inlineStr">
        <is>
          <t>2025-11-01</t>
        </is>
      </c>
      <c r="J395" s="2" t="inlineStr">
        <is>
          <t>/assets/cards/Crewal_Tide.jpeg</t>
        </is>
      </c>
      <c r="K395" s="2" t="inlineStr">
        <is>
          <t>No</t>
        </is>
      </c>
      <c r="L395" s="2" t="inlineStr">
        <is>
          <t>No</t>
        </is>
      </c>
      <c r="M395" s="2" t="inlineStr">
        <is>
          <t>No</t>
        </is>
      </c>
      <c r="N395" s="2">
        <f>IF(AND($K395="Yes",$L395="Yes",$M395="Yes"),"Yes","No")</f>
        <v/>
      </c>
      <c r="O395" s="2" t="inlineStr"/>
    </row>
    <row r="396">
      <c r="A396" s="2" t="inlineStr">
        <is>
          <t>CCG-00387</t>
        </is>
      </c>
      <c r="B396" s="2" t="inlineStr">
        <is>
          <t>Crewal Attack</t>
        </is>
      </c>
      <c r="C396" s="2" t="inlineStr">
        <is>
          <t>PHPA</t>
        </is>
      </c>
      <c r="D396" s="2" t="inlineStr">
        <is>
          <t>028</t>
        </is>
      </c>
      <c r="E396" s="2" t="inlineStr">
        <is>
          <t>Phantom Parade</t>
        </is>
      </c>
      <c r="F396" s="2" t="inlineStr">
        <is>
          <t>Trap</t>
        </is>
      </c>
      <c r="G396" s="2" t="inlineStr">
        <is>
          <t>Trap / Continuous</t>
        </is>
      </c>
      <c r="H396" s="2" t="inlineStr">
        <is>
          <t>Crewal</t>
        </is>
      </c>
      <c r="I396" s="2" t="inlineStr">
        <is>
          <t>2025-11-01</t>
        </is>
      </c>
      <c r="J396" s="2" t="inlineStr">
        <is>
          <t>/assets/cards/Crewal_Attack.jpeg</t>
        </is>
      </c>
      <c r="K396" s="2" t="inlineStr">
        <is>
          <t>No</t>
        </is>
      </c>
      <c r="L396" s="2" t="inlineStr">
        <is>
          <t>No</t>
        </is>
      </c>
      <c r="M396" s="2" t="inlineStr">
        <is>
          <t>No</t>
        </is>
      </c>
      <c r="N396" s="2">
        <f>IF(AND($K396="Yes",$L396="Yes",$M396="Yes"),"Yes","No")</f>
        <v/>
      </c>
      <c r="O396" s="2" t="inlineStr"/>
    </row>
    <row r="397">
      <c r="A397" s="2" t="inlineStr">
        <is>
          <t>CCG-00388</t>
        </is>
      </c>
      <c r="B397" s="2" t="inlineStr">
        <is>
          <t>Crewal Cursed Sea</t>
        </is>
      </c>
      <c r="C397" s="2" t="inlineStr">
        <is>
          <t>PHPA</t>
        </is>
      </c>
      <c r="D397" s="2" t="inlineStr">
        <is>
          <t>029</t>
        </is>
      </c>
      <c r="E397" s="2" t="inlineStr">
        <is>
          <t>Phantom Parade</t>
        </is>
      </c>
      <c r="F397" s="2" t="inlineStr">
        <is>
          <t>Monster</t>
        </is>
      </c>
      <c r="G397" s="2" t="inlineStr">
        <is>
          <t>Zombie / Effect / Xyz</t>
        </is>
      </c>
      <c r="H397" s="2" t="inlineStr">
        <is>
          <t>Crewal</t>
        </is>
      </c>
      <c r="I397" s="2" t="inlineStr">
        <is>
          <t>2025-11-01</t>
        </is>
      </c>
      <c r="J397" s="2" t="inlineStr">
        <is>
          <t>/assets/cards/Crewal_Cursed_Sea.jpeg</t>
        </is>
      </c>
      <c r="K397" s="2" t="inlineStr">
        <is>
          <t>No</t>
        </is>
      </c>
      <c r="L397" s="2" t="inlineStr">
        <is>
          <t>No</t>
        </is>
      </c>
      <c r="M397" s="2" t="inlineStr">
        <is>
          <t>No</t>
        </is>
      </c>
      <c r="N397" s="2">
        <f>IF(AND($K397="Yes",$L397="Yes",$M397="Yes"),"Yes","No")</f>
        <v/>
      </c>
      <c r="O397" s="2" t="inlineStr"/>
    </row>
    <row r="398">
      <c r="A398" s="2" t="inlineStr">
        <is>
          <t>CCG-00389</t>
        </is>
      </c>
      <c r="B398" s="2" t="inlineStr">
        <is>
          <t>Melville the Crewal Vessel</t>
        </is>
      </c>
      <c r="C398" s="2" t="inlineStr">
        <is>
          <t>PHPA</t>
        </is>
      </c>
      <c r="D398" s="2" t="inlineStr">
        <is>
          <t>030</t>
        </is>
      </c>
      <c r="E398" s="2" t="inlineStr">
        <is>
          <t>Phantom Parade</t>
        </is>
      </c>
      <c r="F398" s="2" t="inlineStr">
        <is>
          <t>Monster</t>
        </is>
      </c>
      <c r="G398" s="2" t="inlineStr">
        <is>
          <t>Zombie / Effect / Xyz</t>
        </is>
      </c>
      <c r="H398" s="2" t="inlineStr">
        <is>
          <t>Crewal</t>
        </is>
      </c>
      <c r="I398" s="2" t="inlineStr">
        <is>
          <t>2025-11-01</t>
        </is>
      </c>
      <c r="J398" s="2" t="inlineStr">
        <is>
          <t>/assets/cards/Melville_the_Crewal_Vessel_1.jpeg</t>
        </is>
      </c>
      <c r="K398" s="2" t="inlineStr">
        <is>
          <t>No</t>
        </is>
      </c>
      <c r="L398" s="2" t="inlineStr">
        <is>
          <t>No</t>
        </is>
      </c>
      <c r="M398" s="2" t="inlineStr">
        <is>
          <t>No</t>
        </is>
      </c>
      <c r="N398" s="2">
        <f>IF(AND($K398="Yes",$L398="Yes",$M398="Yes"),"Yes","No")</f>
        <v/>
      </c>
      <c r="O398" s="2" t="inlineStr"/>
    </row>
    <row r="399">
      <c r="A399" s="2" t="inlineStr">
        <is>
          <t>CCG-00390</t>
        </is>
      </c>
      <c r="B399" s="2" t="inlineStr">
        <is>
          <t>Ghostrick Bat</t>
        </is>
      </c>
      <c r="C399" s="2" t="inlineStr">
        <is>
          <t>PHPA</t>
        </is>
      </c>
      <c r="D399" s="2" t="inlineStr">
        <is>
          <t>031</t>
        </is>
      </c>
      <c r="E399" s="2" t="inlineStr">
        <is>
          <t>Phantom Parade</t>
        </is>
      </c>
      <c r="F399" s="2" t="inlineStr">
        <is>
          <t>Monster</t>
        </is>
      </c>
      <c r="G399" s="2" t="inlineStr">
        <is>
          <t>Fiend / Effect</t>
        </is>
      </c>
      <c r="H399" s="2" t="inlineStr">
        <is>
          <t>Ghostrick</t>
        </is>
      </c>
      <c r="I399" s="2" t="inlineStr">
        <is>
          <t>2025-11-01</t>
        </is>
      </c>
      <c r="J399" s="2" t="inlineStr">
        <is>
          <t>/assets/cards/Ghostrick_Bat.jpeg</t>
        </is>
      </c>
      <c r="K399" s="2" t="inlineStr">
        <is>
          <t>No</t>
        </is>
      </c>
      <c r="L399" s="2" t="inlineStr">
        <is>
          <t>No</t>
        </is>
      </c>
      <c r="M399" s="2" t="inlineStr">
        <is>
          <t>No</t>
        </is>
      </c>
      <c r="N399" s="2">
        <f>IF(AND($K399="Yes",$L399="Yes",$M399="Yes"),"Yes","No")</f>
        <v/>
      </c>
      <c r="O399" s="2" t="inlineStr"/>
    </row>
    <row r="400">
      <c r="A400" s="2" t="inlineStr">
        <is>
          <t>CCG-00391</t>
        </is>
      </c>
      <c r="B400" s="2" t="inlineStr">
        <is>
          <t>Ghostrick Djinn</t>
        </is>
      </c>
      <c r="C400" s="2" t="inlineStr">
        <is>
          <t>PHPA</t>
        </is>
      </c>
      <c r="D400" s="2" t="inlineStr">
        <is>
          <t>032</t>
        </is>
      </c>
      <c r="E400" s="2" t="inlineStr">
        <is>
          <t>Phantom Parade</t>
        </is>
      </c>
      <c r="F400" s="2" t="inlineStr">
        <is>
          <t>Monster</t>
        </is>
      </c>
      <c r="G400" s="2" t="inlineStr">
        <is>
          <t>Fairy / Effect</t>
        </is>
      </c>
      <c r="H400" s="2" t="inlineStr">
        <is>
          <t>Ghostrick</t>
        </is>
      </c>
      <c r="I400" s="2" t="inlineStr">
        <is>
          <t>2025-11-01</t>
        </is>
      </c>
      <c r="J400" s="2" t="inlineStr">
        <is>
          <t>/assets/cards/Ghostrick_Djinn.jpeg</t>
        </is>
      </c>
      <c r="K400" s="2" t="inlineStr">
        <is>
          <t>No</t>
        </is>
      </c>
      <c r="L400" s="2" t="inlineStr">
        <is>
          <t>No</t>
        </is>
      </c>
      <c r="M400" s="2" t="inlineStr">
        <is>
          <t>No</t>
        </is>
      </c>
      <c r="N400" s="2">
        <f>IF(AND($K400="Yes",$L400="Yes",$M400="Yes"),"Yes","No")</f>
        <v/>
      </c>
      <c r="O400" s="2" t="inlineStr"/>
    </row>
    <row r="401">
      <c r="A401" s="2" t="inlineStr">
        <is>
          <t>CARD-00392</t>
        </is>
      </c>
      <c r="B401" s="2" t="inlineStr">
        <is>
          <t>Ghostrick Slime</t>
        </is>
      </c>
      <c r="C401" s="2" t="inlineStr">
        <is>
          <t>PHPA</t>
        </is>
      </c>
      <c r="D401" s="2" t="inlineStr">
        <is>
          <t>033</t>
        </is>
      </c>
      <c r="E401" s="2" t="inlineStr">
        <is>
          <t>Phantom Parade</t>
        </is>
      </c>
      <c r="F401" s="2" t="inlineStr">
        <is>
          <t>Monster</t>
        </is>
      </c>
      <c r="G401" s="2" t="inlineStr">
        <is>
          <t>Fiend / Effect</t>
        </is>
      </c>
      <c r="H401" s="2" t="inlineStr">
        <is>
          <t>Ghostrick</t>
        </is>
      </c>
      <c r="I401" s="2" t="inlineStr">
        <is>
          <t>2025-11-02</t>
        </is>
      </c>
      <c r="J401" s="2" t="inlineStr">
        <is>
          <t>/assets/cards/Ghostrick_Slime.jpeg</t>
        </is>
      </c>
      <c r="K401" s="2" t="inlineStr">
        <is>
          <t>No</t>
        </is>
      </c>
      <c r="L401" s="2" t="inlineStr">
        <is>
          <t>No</t>
        </is>
      </c>
      <c r="M401" s="2" t="inlineStr">
        <is>
          <t>No</t>
        </is>
      </c>
      <c r="N401" s="2">
        <f>IF(AND($K401="Yes",$L401="Yes",$M401="Yes"),"Yes","No")</f>
        <v/>
      </c>
      <c r="O401" s="2" t="inlineStr"/>
    </row>
    <row r="402">
      <c r="A402" s="2" t="inlineStr">
        <is>
          <t>CARD-00393</t>
        </is>
      </c>
      <c r="B402" s="2" t="inlineStr">
        <is>
          <t>Ghostrick Haunt</t>
        </is>
      </c>
      <c r="C402" s="2" t="inlineStr">
        <is>
          <t>PHPA</t>
        </is>
      </c>
      <c r="D402" s="2" t="inlineStr">
        <is>
          <t>034</t>
        </is>
      </c>
      <c r="E402" s="2" t="inlineStr">
        <is>
          <t>Phantom Parade</t>
        </is>
      </c>
      <c r="F402" s="2" t="inlineStr">
        <is>
          <t>Trap</t>
        </is>
      </c>
      <c r="G402" s="2" t="inlineStr">
        <is>
          <t>Trap / Continuous</t>
        </is>
      </c>
      <c r="H402" s="2" t="inlineStr">
        <is>
          <t>Ghostrick</t>
        </is>
      </c>
      <c r="I402" s="2" t="inlineStr">
        <is>
          <t>2025-11-02</t>
        </is>
      </c>
      <c r="J402" s="2" t="inlineStr">
        <is>
          <t>/assets/cards/Ghostrick_Haunt.jpeg</t>
        </is>
      </c>
      <c r="K402" s="2" t="inlineStr">
        <is>
          <t>No</t>
        </is>
      </c>
      <c r="L402" s="2" t="inlineStr">
        <is>
          <t>No</t>
        </is>
      </c>
      <c r="M402" s="2" t="inlineStr">
        <is>
          <t>No</t>
        </is>
      </c>
      <c r="N402" s="2">
        <f>IF(AND($K402="Yes",$L402="Yes",$M402="Yes"),"Yes","No")</f>
        <v/>
      </c>
      <c r="O402" s="2" t="inlineStr"/>
    </row>
    <row r="403">
      <c r="A403" s="2" t="inlineStr">
        <is>
          <t>CARD-00394</t>
        </is>
      </c>
      <c r="B403" s="2" t="inlineStr">
        <is>
          <t>Ghostrick Camella</t>
        </is>
      </c>
      <c r="C403" s="2" t="inlineStr">
        <is>
          <t>PHPA</t>
        </is>
      </c>
      <c r="D403" s="2" t="inlineStr">
        <is>
          <t>035</t>
        </is>
      </c>
      <c r="E403" s="2" t="inlineStr">
        <is>
          <t>Phantom Parade</t>
        </is>
      </c>
      <c r="F403" s="2" t="inlineStr">
        <is>
          <t>Monster</t>
        </is>
      </c>
      <c r="G403" s="2" t="inlineStr">
        <is>
          <t>Spellcaster / Xyz / Effect</t>
        </is>
      </c>
      <c r="H403" s="2" t="inlineStr">
        <is>
          <t>Ghostrick</t>
        </is>
      </c>
      <c r="I403" s="2" t="inlineStr">
        <is>
          <t>2025-11-02</t>
        </is>
      </c>
      <c r="J403" s="2" t="inlineStr">
        <is>
          <t>/assets/cards/Ghostrick_Camella.jpeg</t>
        </is>
      </c>
      <c r="K403" s="2" t="inlineStr">
        <is>
          <t>No</t>
        </is>
      </c>
      <c r="L403" s="2" t="inlineStr">
        <is>
          <t>No</t>
        </is>
      </c>
      <c r="M403" s="2" t="inlineStr">
        <is>
          <t>No</t>
        </is>
      </c>
      <c r="N403" s="2">
        <f>IF(AND($K403="Yes",$L403="Yes",$M403="Yes"),"Yes","No")</f>
        <v/>
      </c>
      <c r="O403" s="2" t="inlineStr"/>
    </row>
    <row r="404">
      <c r="A404" s="2" t="inlineStr">
        <is>
          <t>CARD-00395</t>
        </is>
      </c>
      <c r="B404" s="2" t="inlineStr">
        <is>
          <t>Ghostrick Cutifer</t>
        </is>
      </c>
      <c r="C404" s="2" t="inlineStr">
        <is>
          <t>PHPA</t>
        </is>
      </c>
      <c r="D404" s="2" t="inlineStr">
        <is>
          <t>036</t>
        </is>
      </c>
      <c r="E404" s="2" t="inlineStr">
        <is>
          <t>Phantom Parade</t>
        </is>
      </c>
      <c r="F404" s="2" t="inlineStr">
        <is>
          <t>Monster</t>
        </is>
      </c>
      <c r="G404" s="2" t="inlineStr">
        <is>
          <t>Fairy / Xyz / Effect</t>
        </is>
      </c>
      <c r="H404" s="2" t="inlineStr">
        <is>
          <t>Ghostrick</t>
        </is>
      </c>
      <c r="I404" s="2" t="inlineStr">
        <is>
          <t>2025-11-02</t>
        </is>
      </c>
      <c r="J404" s="2" t="inlineStr">
        <is>
          <t>/assets/cards/Ghostrick_Cutifer.jpeg</t>
        </is>
      </c>
      <c r="K404" s="2" t="inlineStr">
        <is>
          <t>No</t>
        </is>
      </c>
      <c r="L404" s="2" t="inlineStr">
        <is>
          <t>No</t>
        </is>
      </c>
      <c r="M404" s="2" t="inlineStr">
        <is>
          <t>No</t>
        </is>
      </c>
      <c r="N404" s="2">
        <f>IF(AND($K404="Yes",$L404="Yes",$M404="Yes"),"Yes","No")</f>
        <v/>
      </c>
      <c r="O404" s="2" t="inlineStr"/>
    </row>
    <row r="405">
      <c r="A405" s="2" t="inlineStr">
        <is>
          <t>CARD-00396</t>
        </is>
      </c>
      <c r="B405" s="2" t="inlineStr">
        <is>
          <t>Ghostrick Oni</t>
        </is>
      </c>
      <c r="C405" s="2" t="inlineStr">
        <is>
          <t>PHPA</t>
        </is>
      </c>
      <c r="D405" s="2" t="inlineStr">
        <is>
          <t>037</t>
        </is>
      </c>
      <c r="E405" s="2" t="inlineStr">
        <is>
          <t>Phantom Parade</t>
        </is>
      </c>
      <c r="F405" s="2" t="inlineStr">
        <is>
          <t>Monster</t>
        </is>
      </c>
      <c r="G405" s="2" t="inlineStr">
        <is>
          <t>Fiend / Xyz / Effect</t>
        </is>
      </c>
      <c r="H405" s="2" t="inlineStr">
        <is>
          <t>Ghostrick</t>
        </is>
      </c>
      <c r="I405" s="2" t="inlineStr">
        <is>
          <t>2025-11-02</t>
        </is>
      </c>
      <c r="J405" s="2" t="inlineStr">
        <is>
          <t>/assets/cards/Ghostrick_Oni.jpeg</t>
        </is>
      </c>
      <c r="K405" s="2" t="inlineStr">
        <is>
          <t>No</t>
        </is>
      </c>
      <c r="L405" s="2" t="inlineStr">
        <is>
          <t>No</t>
        </is>
      </c>
      <c r="M405" s="2" t="inlineStr">
        <is>
          <t>No</t>
        </is>
      </c>
      <c r="N405" s="2">
        <f>IF(AND($K405="Yes",$L405="Yes",$M405="Yes"),"Yes","No")</f>
        <v/>
      </c>
      <c r="O405" s="2" t="inlineStr"/>
    </row>
    <row r="406">
      <c r="A406" s="2" t="inlineStr">
        <is>
          <t>CARD-00397</t>
        </is>
      </c>
      <c r="B406" s="2" t="inlineStr">
        <is>
          <t>Ghostrick Pastrygeist</t>
        </is>
      </c>
      <c r="C406" s="2" t="inlineStr">
        <is>
          <t>PHPA</t>
        </is>
      </c>
      <c r="D406" s="2" t="inlineStr">
        <is>
          <t>038</t>
        </is>
      </c>
      <c r="E406" s="2" t="inlineStr">
        <is>
          <t>Phantom Parade</t>
        </is>
      </c>
      <c r="F406" s="2" t="inlineStr">
        <is>
          <t>Monster</t>
        </is>
      </c>
      <c r="G406" s="2" t="inlineStr">
        <is>
          <t>Zombie / Xyz / Effect</t>
        </is>
      </c>
      <c r="H406" s="2" t="inlineStr">
        <is>
          <t>Ghostrick</t>
        </is>
      </c>
      <c r="I406" s="2" t="inlineStr">
        <is>
          <t>2025-11-02</t>
        </is>
      </c>
      <c r="J406" s="2" t="inlineStr">
        <is>
          <t>/assets/cards/Ghostrick_Pastrygeist_1.jpeg</t>
        </is>
      </c>
      <c r="K406" s="2" t="inlineStr">
        <is>
          <t>No</t>
        </is>
      </c>
      <c r="L406" s="2" t="inlineStr">
        <is>
          <t>No</t>
        </is>
      </c>
      <c r="M406" s="2" t="inlineStr">
        <is>
          <t>No</t>
        </is>
      </c>
      <c r="N406" s="2">
        <f>IF(AND($K406="Yes",$L406="Yes",$M406="Yes"),"Yes","No")</f>
        <v/>
      </c>
      <c r="O406" s="2" t="inlineStr"/>
    </row>
    <row r="407">
      <c r="A407" s="2" t="inlineStr">
        <is>
          <t>CARD-00398</t>
        </is>
      </c>
      <c r="B407" s="2" t="inlineStr">
        <is>
          <t>Vampire Avenger</t>
        </is>
      </c>
      <c r="C407" s="2" t="inlineStr">
        <is>
          <t>PHPA</t>
        </is>
      </c>
      <c r="D407" s="2" t="inlineStr">
        <is>
          <t>039</t>
        </is>
      </c>
      <c r="E407" s="2" t="inlineStr">
        <is>
          <t>Phantom Parade</t>
        </is>
      </c>
      <c r="F407" s="2" t="inlineStr">
        <is>
          <t>Monster</t>
        </is>
      </c>
      <c r="G407" s="2" t="inlineStr">
        <is>
          <t>Zombie / Effect</t>
        </is>
      </c>
      <c r="H407" s="2" t="inlineStr">
        <is>
          <t>Vampire</t>
        </is>
      </c>
      <c r="I407" s="2" t="inlineStr">
        <is>
          <t>2025-11-02</t>
        </is>
      </c>
      <c r="J407" s="2" t="inlineStr">
        <is>
          <t>/assets/cards/Vampire_Avenger.jpeg</t>
        </is>
      </c>
      <c r="K407" s="2" t="inlineStr">
        <is>
          <t>No</t>
        </is>
      </c>
      <c r="L407" s="2" t="inlineStr">
        <is>
          <t>No</t>
        </is>
      </c>
      <c r="M407" s="2" t="inlineStr">
        <is>
          <t>No</t>
        </is>
      </c>
      <c r="N407" s="2">
        <f>IF(AND($K407="Yes",$L407="Yes",$M407="Yes"),"Yes","No")</f>
        <v/>
      </c>
      <c r="O407" s="2" t="inlineStr"/>
    </row>
    <row r="408">
      <c r="A408" s="2" t="inlineStr">
        <is>
          <t>CARD-00399</t>
        </is>
      </c>
      <c r="B408" s="2" t="inlineStr">
        <is>
          <t>Vampire Lugat</t>
        </is>
      </c>
      <c r="C408" s="2" t="inlineStr">
        <is>
          <t>PHPA</t>
        </is>
      </c>
      <c r="D408" s="2" t="inlineStr">
        <is>
          <t>040</t>
        </is>
      </c>
      <c r="E408" s="2" t="inlineStr">
        <is>
          <t>Phantom Parade</t>
        </is>
      </c>
      <c r="F408" s="2" t="inlineStr">
        <is>
          <t>Monster</t>
        </is>
      </c>
      <c r="G408" s="2" t="inlineStr">
        <is>
          <t>Zombie / Effect</t>
        </is>
      </c>
      <c r="H408" s="2" t="inlineStr">
        <is>
          <t>Vampire</t>
        </is>
      </c>
      <c r="I408" s="2" t="inlineStr">
        <is>
          <t>2025-11-02</t>
        </is>
      </c>
      <c r="J408" s="2" t="inlineStr">
        <is>
          <t>/assets/cards/Vampire_Lugat.jpeg</t>
        </is>
      </c>
      <c r="K408" s="2" t="inlineStr">
        <is>
          <t>No</t>
        </is>
      </c>
      <c r="L408" s="2" t="inlineStr">
        <is>
          <t>No</t>
        </is>
      </c>
      <c r="M408" s="2" t="inlineStr">
        <is>
          <t>No</t>
        </is>
      </c>
      <c r="N408" s="2">
        <f>IF(AND($K408="Yes",$L408="Yes",$M408="Yes"),"Yes","No")</f>
        <v/>
      </c>
      <c r="O408" s="2" t="inlineStr"/>
    </row>
    <row r="409">
      <c r="A409" s="2" t="inlineStr">
        <is>
          <t>CARD-00400</t>
        </is>
      </c>
      <c r="B409" s="2" t="inlineStr">
        <is>
          <t>Vampire Reptilian</t>
        </is>
      </c>
      <c r="C409" s="2" t="inlineStr">
        <is>
          <t>PHPA</t>
        </is>
      </c>
      <c r="D409" s="2" t="inlineStr">
        <is>
          <t>041</t>
        </is>
      </c>
      <c r="E409" s="2" t="inlineStr">
        <is>
          <t>Phantom Parade</t>
        </is>
      </c>
      <c r="F409" s="2" t="inlineStr">
        <is>
          <t>Monster</t>
        </is>
      </c>
      <c r="G409" s="2" t="inlineStr">
        <is>
          <t>Zombie / Effect</t>
        </is>
      </c>
      <c r="H409" s="2" t="inlineStr">
        <is>
          <t>Vampire</t>
        </is>
      </c>
      <c r="I409" s="2" t="inlineStr">
        <is>
          <t>2025-11-02</t>
        </is>
      </c>
      <c r="J409" s="2" t="inlineStr">
        <is>
          <t>/assets/cards/Vampire_Reptilian.jpeg</t>
        </is>
      </c>
      <c r="K409" s="2" t="inlineStr">
        <is>
          <t>No</t>
        </is>
      </c>
      <c r="L409" s="2" t="inlineStr">
        <is>
          <t>No</t>
        </is>
      </c>
      <c r="M409" s="2" t="inlineStr">
        <is>
          <t>No</t>
        </is>
      </c>
      <c r="N409" s="2">
        <f>IF(AND($K409="Yes",$L409="Yes",$M409="Yes"),"Yes","No")</f>
        <v/>
      </c>
      <c r="O409" s="2" t="inlineStr"/>
    </row>
    <row r="410">
      <c r="A410" s="2" t="inlineStr">
        <is>
          <t>CARD-00401</t>
        </is>
      </c>
      <c r="B410" s="2" t="inlineStr">
        <is>
          <t>Vampire Traveler</t>
        </is>
      </c>
      <c r="C410" s="2" t="inlineStr">
        <is>
          <t>PHPA</t>
        </is>
      </c>
      <c r="D410" s="2" t="inlineStr">
        <is>
          <t>042</t>
        </is>
      </c>
      <c r="E410" s="2" t="inlineStr">
        <is>
          <t>Phantom Parade</t>
        </is>
      </c>
      <c r="F410" s="2" t="inlineStr">
        <is>
          <t>Monster</t>
        </is>
      </c>
      <c r="G410" s="2" t="inlineStr">
        <is>
          <t>Zombie / Effect</t>
        </is>
      </c>
      <c r="H410" s="2" t="inlineStr">
        <is>
          <t>Vampire</t>
        </is>
      </c>
      <c r="I410" s="2" t="inlineStr">
        <is>
          <t>2025-11-02</t>
        </is>
      </c>
      <c r="J410" s="2" t="inlineStr">
        <is>
          <t>/assets/cards/Vampire_Traveler.jpeg</t>
        </is>
      </c>
      <c r="K410" s="2" t="inlineStr">
        <is>
          <t>No</t>
        </is>
      </c>
      <c r="L410" s="2" t="inlineStr">
        <is>
          <t>No</t>
        </is>
      </c>
      <c r="M410" s="2" t="inlineStr">
        <is>
          <t>No</t>
        </is>
      </c>
      <c r="N410" s="2">
        <f>IF(AND($K410="Yes",$L410="Yes",$M410="Yes"),"Yes","No")</f>
        <v/>
      </c>
      <c r="O410" s="2" t="inlineStr"/>
    </row>
    <row r="411">
      <c r="A411" s="2" t="inlineStr">
        <is>
          <t>CARD-0402</t>
        </is>
      </c>
      <c r="B411" s="2" t="inlineStr">
        <is>
          <t>Vampire Estrie</t>
        </is>
      </c>
      <c r="C411" s="2" t="inlineStr">
        <is>
          <t>PHPA</t>
        </is>
      </c>
      <c r="D411" s="2" t="inlineStr">
        <is>
          <t>043</t>
        </is>
      </c>
      <c r="E411" s="2" t="inlineStr">
        <is>
          <t>Phantom Parade</t>
        </is>
      </c>
      <c r="F411" s="2" t="inlineStr">
        <is>
          <t>Monster</t>
        </is>
      </c>
      <c r="G411" s="2" t="inlineStr">
        <is>
          <t>Zombie / Link / Effect</t>
        </is>
      </c>
      <c r="H411" s="2" t="inlineStr">
        <is>
          <t>Vampire</t>
        </is>
      </c>
      <c r="I411" s="2" t="inlineStr">
        <is>
          <t>2025-11-02</t>
        </is>
      </c>
      <c r="J411" s="2" t="inlineStr">
        <is>
          <t>/assets/cards/Vampire_Estrie.jpeg</t>
        </is>
      </c>
      <c r="K411" s="2" t="inlineStr">
        <is>
          <t>No</t>
        </is>
      </c>
      <c r="L411" s="2" t="inlineStr">
        <is>
          <t>No</t>
        </is>
      </c>
      <c r="M411" s="2" t="inlineStr">
        <is>
          <t>No</t>
        </is>
      </c>
      <c r="N411" s="2">
        <f>IF(AND($K411="Yes",$L411="Yes",$M411="Yes"),"Yes","No")</f>
        <v/>
      </c>
      <c r="O411" s="2" t="inlineStr"/>
    </row>
    <row r="412">
      <c r="A412" s="2" t="inlineStr">
        <is>
          <t>CARD-00403</t>
        </is>
      </c>
      <c r="B412" s="2" t="inlineStr">
        <is>
          <t>SCARSTECH PROLOGUE</t>
        </is>
      </c>
      <c r="C412" s="2" t="inlineStr">
        <is>
          <t>CHST</t>
        </is>
      </c>
      <c r="D412" s="2" t="inlineStr">
        <is>
          <t>043</t>
        </is>
      </c>
      <c r="E412" s="2" t="inlineStr">
        <is>
          <t>Chronicles of the Starborn</t>
        </is>
      </c>
      <c r="F412" s="2" t="inlineStr">
        <is>
          <t>Monster</t>
        </is>
      </c>
      <c r="G412" s="2" t="inlineStr">
        <is>
          <t>Galaxy / Effect</t>
        </is>
      </c>
      <c r="H412" s="2" t="inlineStr">
        <is>
          <t>Scarstech</t>
        </is>
      </c>
      <c r="I412" s="2" t="inlineStr">
        <is>
          <t>2025-11-19</t>
        </is>
      </c>
      <c r="J412" s="2" t="inlineStr">
        <is>
          <t>/assets/cards/Scarstech_Prologue.jpeg</t>
        </is>
      </c>
      <c r="K412" s="2" t="inlineStr">
        <is>
          <t>No</t>
        </is>
      </c>
      <c r="L412" s="2" t="inlineStr">
        <is>
          <t>No</t>
        </is>
      </c>
      <c r="M412" s="2" t="inlineStr">
        <is>
          <t>No</t>
        </is>
      </c>
      <c r="N412" s="2">
        <f>IF(AND($K412="Yes",$L412="Yes",$M412="Yes"),"Yes","No")</f>
        <v/>
      </c>
      <c r="O412" s="2" t="inlineStr"/>
    </row>
    <row r="413">
      <c r="A413" s="2" t="inlineStr">
        <is>
          <t>CARD-00404</t>
        </is>
      </c>
      <c r="B413" s="2" t="inlineStr">
        <is>
          <t>SCARSTECH CRUSADER</t>
        </is>
      </c>
      <c r="C413" s="2" t="inlineStr">
        <is>
          <t>CHST</t>
        </is>
      </c>
      <c r="D413" s="2" t="inlineStr">
        <is>
          <t>044</t>
        </is>
      </c>
      <c r="E413" s="2" t="inlineStr">
        <is>
          <t>Chronicles of the Starborn</t>
        </is>
      </c>
      <c r="F413" s="2" t="inlineStr">
        <is>
          <t>Monster</t>
        </is>
      </c>
      <c r="G413" s="2" t="inlineStr">
        <is>
          <t>Galaxy / Effect</t>
        </is>
      </c>
      <c r="H413" s="2" t="inlineStr">
        <is>
          <t>Scarstech</t>
        </is>
      </c>
      <c r="I413" s="2" t="inlineStr">
        <is>
          <t>2025-11-19</t>
        </is>
      </c>
      <c r="J413" s="2" t="inlineStr">
        <is>
          <t>/assets/cards/Scarstech_Crusader_1.jpeg</t>
        </is>
      </c>
      <c r="K413" s="2" t="inlineStr">
        <is>
          <t>No</t>
        </is>
      </c>
      <c r="L413" s="2" t="inlineStr">
        <is>
          <t>No</t>
        </is>
      </c>
      <c r="M413" s="2" t="inlineStr">
        <is>
          <t>No</t>
        </is>
      </c>
      <c r="N413" s="2">
        <f>IF(AND($K413="Yes",$L413="Yes",$M413="Yes"),"Yes","No")</f>
        <v/>
      </c>
      <c r="O413" s="2" t="inlineStr"/>
    </row>
    <row r="414">
      <c r="A414" s="2" t="inlineStr">
        <is>
          <t>CARD-00405</t>
        </is>
      </c>
      <c r="B414" s="2" t="inlineStr">
        <is>
          <t>SCARSTECH DRAGON</t>
        </is>
      </c>
      <c r="C414" s="2" t="inlineStr">
        <is>
          <t>CHST</t>
        </is>
      </c>
      <c r="D414" s="2" t="inlineStr">
        <is>
          <t>045</t>
        </is>
      </c>
      <c r="E414" s="2" t="inlineStr">
        <is>
          <t>Chronicles of the Starborn</t>
        </is>
      </c>
      <c r="F414" s="2" t="inlineStr">
        <is>
          <t>Monster</t>
        </is>
      </c>
      <c r="G414" s="2" t="inlineStr">
        <is>
          <t>Galaxy / Effect</t>
        </is>
      </c>
      <c r="H414" s="2" t="inlineStr">
        <is>
          <t>Scarstech</t>
        </is>
      </c>
      <c r="I414" s="2" t="inlineStr">
        <is>
          <t>2025-11-19</t>
        </is>
      </c>
      <c r="J414" s="2" t="inlineStr">
        <is>
          <t>/assets/cards/Scarstech_Dragon.jpeg</t>
        </is>
      </c>
      <c r="K414" s="2" t="inlineStr">
        <is>
          <t>No</t>
        </is>
      </c>
      <c r="L414" s="2" t="inlineStr">
        <is>
          <t>No</t>
        </is>
      </c>
      <c r="M414" s="2" t="inlineStr">
        <is>
          <t>No</t>
        </is>
      </c>
      <c r="N414" s="2">
        <f>IF(AND($K414="Yes",$L414="Yes",$M414="Yes"),"Yes","No")</f>
        <v/>
      </c>
      <c r="O414" s="2" t="inlineStr"/>
    </row>
    <row r="415">
      <c r="A415" s="2" t="inlineStr">
        <is>
          <t>CARD-00406</t>
        </is>
      </c>
      <c r="B415" s="2" t="inlineStr">
        <is>
          <t>SCARSTECH SWARMER</t>
        </is>
      </c>
      <c r="C415" s="2" t="inlineStr">
        <is>
          <t>CHST</t>
        </is>
      </c>
      <c r="D415" s="2" t="inlineStr">
        <is>
          <t>046</t>
        </is>
      </c>
      <c r="E415" s="2" t="inlineStr">
        <is>
          <t>Chronicles of the Starborn</t>
        </is>
      </c>
      <c r="F415" s="2" t="inlineStr">
        <is>
          <t>Monster</t>
        </is>
      </c>
      <c r="G415" s="2" t="inlineStr">
        <is>
          <t>Galaxy / Effect</t>
        </is>
      </c>
      <c r="H415" s="2" t="inlineStr">
        <is>
          <t>Scarstech</t>
        </is>
      </c>
      <c r="I415" s="2" t="inlineStr">
        <is>
          <t>2025-11-19</t>
        </is>
      </c>
      <c r="J415" s="2" t="inlineStr">
        <is>
          <t>/assets/cards/Scarstech_Swarmer.jpeg</t>
        </is>
      </c>
      <c r="K415" s="2" t="inlineStr">
        <is>
          <t>No</t>
        </is>
      </c>
      <c r="L415" s="2" t="inlineStr">
        <is>
          <t>No</t>
        </is>
      </c>
      <c r="M415" s="2" t="inlineStr">
        <is>
          <t>No</t>
        </is>
      </c>
      <c r="N415" s="2">
        <f>IF(AND($K415="Yes",$L415="Yes",$M415="Yes"),"Yes","No")</f>
        <v/>
      </c>
      <c r="O415" s="2" t="inlineStr"/>
    </row>
    <row r="416">
      <c r="A416" s="2" t="inlineStr">
        <is>
          <t>CARD-00407</t>
        </is>
      </c>
      <c r="B416" s="2" t="inlineStr">
        <is>
          <t>SCARSTECH SNIPER</t>
        </is>
      </c>
      <c r="C416" s="2" t="inlineStr">
        <is>
          <t>CHST</t>
        </is>
      </c>
      <c r="D416" s="2" t="inlineStr">
        <is>
          <t>047</t>
        </is>
      </c>
      <c r="E416" s="2" t="inlineStr">
        <is>
          <t>Chronicles of the Starborn</t>
        </is>
      </c>
      <c r="F416" s="2" t="inlineStr">
        <is>
          <t>Monster</t>
        </is>
      </c>
      <c r="G416" s="2" t="inlineStr">
        <is>
          <t>Galaxy / Effect</t>
        </is>
      </c>
      <c r="H416" s="2" t="inlineStr">
        <is>
          <t>Scarstech</t>
        </is>
      </c>
      <c r="I416" s="2" t="inlineStr">
        <is>
          <t>2025-11-19</t>
        </is>
      </c>
      <c r="J416" s="2" t="inlineStr">
        <is>
          <t>/assets/cards/Scarstech_Sniper.jpeg</t>
        </is>
      </c>
      <c r="K416" s="2" t="inlineStr">
        <is>
          <t>No</t>
        </is>
      </c>
      <c r="L416" s="2" t="inlineStr">
        <is>
          <t>No</t>
        </is>
      </c>
      <c r="M416" s="2" t="inlineStr">
        <is>
          <t>No</t>
        </is>
      </c>
      <c r="N416" s="2">
        <f>IF(AND($K416="Yes",$L416="Yes",$M416="Yes"),"Yes","No")</f>
        <v/>
      </c>
      <c r="O416" s="2" t="inlineStr"/>
    </row>
    <row r="417">
      <c r="A417" s="2" t="inlineStr">
        <is>
          <t>CARD-00408</t>
        </is>
      </c>
      <c r="B417" s="2" t="inlineStr">
        <is>
          <t>SCARSTECH BEACON</t>
        </is>
      </c>
      <c r="C417" s="2" t="inlineStr">
        <is>
          <t>CHST</t>
        </is>
      </c>
      <c r="D417" s="2" t="inlineStr">
        <is>
          <t>048</t>
        </is>
      </c>
      <c r="E417" s="2" t="inlineStr">
        <is>
          <t>Chronicles of the Starborn</t>
        </is>
      </c>
      <c r="F417" s="2" t="inlineStr">
        <is>
          <t>Monster</t>
        </is>
      </c>
      <c r="G417" s="2" t="inlineStr">
        <is>
          <t>Galaxy / Effect</t>
        </is>
      </c>
      <c r="H417" s="2" t="inlineStr">
        <is>
          <t>Scarstech</t>
        </is>
      </c>
      <c r="I417" s="2" t="inlineStr">
        <is>
          <t>2025-11-19</t>
        </is>
      </c>
      <c r="J417" s="2" t="inlineStr">
        <is>
          <t>/assets/cards/Scarstech_Beacon.jpeg</t>
        </is>
      </c>
      <c r="K417" s="2" t="inlineStr">
        <is>
          <t>No</t>
        </is>
      </c>
      <c r="L417" s="2" t="inlineStr">
        <is>
          <t>No</t>
        </is>
      </c>
      <c r="M417" s="2" t="inlineStr">
        <is>
          <t>No</t>
        </is>
      </c>
      <c r="N417" s="2">
        <f>IF(AND($K417="Yes",$L417="Yes",$M417="Yes"),"Yes","No")</f>
        <v/>
      </c>
      <c r="O417" s="2" t="inlineStr"/>
    </row>
    <row r="418">
      <c r="A418" s="2" t="inlineStr">
        <is>
          <t>CARD-00409</t>
        </is>
      </c>
      <c r="B418" s="2" t="inlineStr">
        <is>
          <t>SCARSTECH PRINCIPALITY</t>
        </is>
      </c>
      <c r="C418" s="2" t="inlineStr">
        <is>
          <t>CHST</t>
        </is>
      </c>
      <c r="D418" s="2" t="inlineStr">
        <is>
          <t>049</t>
        </is>
      </c>
      <c r="E418" s="2" t="inlineStr">
        <is>
          <t>Chronicles of the Starborn</t>
        </is>
      </c>
      <c r="F418" s="2" t="inlineStr">
        <is>
          <t>Monster</t>
        </is>
      </c>
      <c r="G418" s="2" t="inlineStr">
        <is>
          <t>Galaxy / Effect</t>
        </is>
      </c>
      <c r="H418" s="2" t="inlineStr">
        <is>
          <t>Scarstech</t>
        </is>
      </c>
      <c r="I418" s="2" t="inlineStr">
        <is>
          <t>2025-11-19</t>
        </is>
      </c>
      <c r="J418" s="2" t="inlineStr">
        <is>
          <t>/assets/cards/Scarstech_Principality.jpeg</t>
        </is>
      </c>
      <c r="K418" s="2" t="inlineStr">
        <is>
          <t>No</t>
        </is>
      </c>
      <c r="L418" s="2" t="inlineStr">
        <is>
          <t>No</t>
        </is>
      </c>
      <c r="M418" s="2" t="inlineStr">
        <is>
          <t>No</t>
        </is>
      </c>
      <c r="N418" s="2">
        <f>IF(AND($K418="Yes",$L418="Yes",$M418="Yes"),"Yes","No")</f>
        <v/>
      </c>
      <c r="O418" s="2" t="inlineStr"/>
    </row>
    <row r="419">
      <c r="A419" s="2" t="inlineStr">
        <is>
          <t>CARD-00410</t>
        </is>
      </c>
      <c r="B419" s="2" t="inlineStr">
        <is>
          <t>SCARSTECH STAGGER</t>
        </is>
      </c>
      <c r="C419" s="2" t="inlineStr">
        <is>
          <t>CHST</t>
        </is>
      </c>
      <c r="D419" s="2" t="inlineStr">
        <is>
          <t>050</t>
        </is>
      </c>
      <c r="E419" s="2" t="inlineStr">
        <is>
          <t>Chronicles of the Starborn</t>
        </is>
      </c>
      <c r="F419" s="2" t="inlineStr">
        <is>
          <t>Monster</t>
        </is>
      </c>
      <c r="G419" s="2" t="inlineStr">
        <is>
          <t>Galaxy / Effect</t>
        </is>
      </c>
      <c r="H419" s="2" t="inlineStr">
        <is>
          <t>Scarstech</t>
        </is>
      </c>
      <c r="I419" s="2" t="inlineStr">
        <is>
          <t>2025-11-19</t>
        </is>
      </c>
      <c r="J419" s="2" t="inlineStr">
        <is>
          <t>/assets/cards/Scarstech_Stagger.jpeg</t>
        </is>
      </c>
      <c r="K419" s="2" t="inlineStr">
        <is>
          <t>No</t>
        </is>
      </c>
      <c r="L419" s="2" t="inlineStr">
        <is>
          <t>No</t>
        </is>
      </c>
      <c r="M419" s="2" t="inlineStr">
        <is>
          <t>No</t>
        </is>
      </c>
      <c r="N419" s="2">
        <f>IF(AND($K419="Yes",$L419="Yes",$M419="Yes"),"Yes","No")</f>
        <v/>
      </c>
      <c r="O419" s="2" t="inlineStr"/>
    </row>
    <row r="420">
      <c r="A420" s="2" t="inlineStr">
        <is>
          <t>CARD-00411</t>
        </is>
      </c>
      <c r="B420" s="2" t="inlineStr">
        <is>
          <t>SCARSTECH KAISER</t>
        </is>
      </c>
      <c r="C420" s="2" t="inlineStr">
        <is>
          <t>CHST</t>
        </is>
      </c>
      <c r="D420" s="2" t="inlineStr">
        <is>
          <t>051</t>
        </is>
      </c>
      <c r="E420" s="2" t="inlineStr">
        <is>
          <t>Chronicles of the Starborn</t>
        </is>
      </c>
      <c r="F420" s="2" t="inlineStr">
        <is>
          <t>Monster</t>
        </is>
      </c>
      <c r="G420" s="2" t="inlineStr">
        <is>
          <t>Galaxy / Effect</t>
        </is>
      </c>
      <c r="H420" s="2" t="inlineStr">
        <is>
          <t>Scarstech</t>
        </is>
      </c>
      <c r="I420" s="2" t="inlineStr">
        <is>
          <t>2025-11-19</t>
        </is>
      </c>
      <c r="J420" s="2" t="inlineStr">
        <is>
          <t>/assets/cards/Scarstech_Kaiser_1.jpeg</t>
        </is>
      </c>
      <c r="K420" s="2" t="inlineStr">
        <is>
          <t>No</t>
        </is>
      </c>
      <c r="L420" s="2" t="inlineStr">
        <is>
          <t>No</t>
        </is>
      </c>
      <c r="M420" s="2" t="inlineStr">
        <is>
          <t>No</t>
        </is>
      </c>
      <c r="N420" s="2">
        <f>IF(AND($K420="Yes",$L420="Yes",$M420="Yes"),"Yes","No")</f>
        <v/>
      </c>
      <c r="O420" s="2" t="inlineStr"/>
    </row>
    <row r="421">
      <c r="A421" s="2" t="inlineStr">
        <is>
          <t>CARD-00412</t>
        </is>
      </c>
      <c r="B421" s="2" t="inlineStr">
        <is>
          <t>SCARSTECH INVASION</t>
        </is>
      </c>
      <c r="C421" s="2" t="inlineStr">
        <is>
          <t>CHST</t>
        </is>
      </c>
      <c r="D421" s="2" t="inlineStr">
        <is>
          <t>052</t>
        </is>
      </c>
      <c r="E421" s="2" t="inlineStr">
        <is>
          <t>Chronicles of the Starborn</t>
        </is>
      </c>
      <c r="F421" s="2" t="inlineStr">
        <is>
          <t>Trap</t>
        </is>
      </c>
      <c r="G421" s="2" t="inlineStr">
        <is>
          <t>Trap / Continuous</t>
        </is>
      </c>
      <c r="H421" s="2" t="inlineStr">
        <is>
          <t>Scarstech</t>
        </is>
      </c>
      <c r="I421" s="2" t="inlineStr">
        <is>
          <t>2025-11-19</t>
        </is>
      </c>
      <c r="J421" s="2" t="inlineStr">
        <is>
          <t>/assets/cards/Scarstech_Invasion.jpeg</t>
        </is>
      </c>
      <c r="K421" s="2" t="inlineStr">
        <is>
          <t>No</t>
        </is>
      </c>
      <c r="L421" s="2" t="inlineStr">
        <is>
          <t>No</t>
        </is>
      </c>
      <c r="M421" s="2" t="inlineStr">
        <is>
          <t>No</t>
        </is>
      </c>
      <c r="N421" s="2">
        <f>IF(AND($K421="Yes",$L421="Yes",$M421="Yes"),"Yes","No")</f>
        <v/>
      </c>
      <c r="O421" s="2" t="inlineStr"/>
    </row>
    <row r="422">
      <c r="A422" s="2" t="inlineStr">
        <is>
          <t>CARD-00413</t>
        </is>
      </c>
      <c r="B422" s="2" t="inlineStr">
        <is>
          <t>SCARSTECH CIRCUIT</t>
        </is>
      </c>
      <c r="C422" s="2" t="inlineStr">
        <is>
          <t>CHST</t>
        </is>
      </c>
      <c r="D422" s="2" t="inlineStr">
        <is>
          <t>053</t>
        </is>
      </c>
      <c r="E422" s="2" t="inlineStr">
        <is>
          <t>Chronicles of the Starborn</t>
        </is>
      </c>
      <c r="F422" s="2" t="inlineStr">
        <is>
          <t>Trap</t>
        </is>
      </c>
      <c r="G422" s="2" t="inlineStr">
        <is>
          <t>Trap / Continuous</t>
        </is>
      </c>
      <c r="H422" s="2" t="inlineStr">
        <is>
          <t>Scarstech</t>
        </is>
      </c>
      <c r="I422" s="2" t="inlineStr">
        <is>
          <t>2025-11-19</t>
        </is>
      </c>
      <c r="J422" s="2" t="inlineStr">
        <is>
          <t>/assets/cards/Scarstech_Circuit.jpeg</t>
        </is>
      </c>
      <c r="K422" s="2" t="inlineStr">
        <is>
          <t>No</t>
        </is>
      </c>
      <c r="L422" s="2" t="inlineStr">
        <is>
          <t>No</t>
        </is>
      </c>
      <c r="M422" s="2" t="inlineStr">
        <is>
          <t>No</t>
        </is>
      </c>
      <c r="N422" s="2">
        <f>IF(AND($K422="Yes",$L422="Yes",$M422="Yes"),"Yes","No")</f>
        <v/>
      </c>
      <c r="O422" s="2" t="inlineStr"/>
    </row>
    <row r="423">
      <c r="A423" s="2" t="inlineStr">
        <is>
          <t>CARD-00414</t>
        </is>
      </c>
      <c r="B423" s="2" t="inlineStr">
        <is>
          <t>SCARSTECH DEPLOYMENT</t>
        </is>
      </c>
      <c r="C423" s="2" t="inlineStr">
        <is>
          <t>CHST</t>
        </is>
      </c>
      <c r="D423" s="2" t="inlineStr">
        <is>
          <t>054</t>
        </is>
      </c>
      <c r="E423" s="2" t="inlineStr">
        <is>
          <t>Chronicles of the Starborn</t>
        </is>
      </c>
      <c r="F423" s="2" t="inlineStr">
        <is>
          <t>Trap</t>
        </is>
      </c>
      <c r="G423" s="2" t="inlineStr">
        <is>
          <t>Trap / Normal</t>
        </is>
      </c>
      <c r="H423" s="2" t="inlineStr">
        <is>
          <t>Scarstech</t>
        </is>
      </c>
      <c r="I423" s="2" t="inlineStr">
        <is>
          <t>2025-11-19</t>
        </is>
      </c>
      <c r="J423" s="2" t="inlineStr">
        <is>
          <t>/assets/cards/Scarstech_Deployment.jpeg</t>
        </is>
      </c>
      <c r="K423" s="2" t="inlineStr">
        <is>
          <t>No</t>
        </is>
      </c>
      <c r="L423" s="2" t="inlineStr">
        <is>
          <t>No</t>
        </is>
      </c>
      <c r="M423" s="2" t="inlineStr">
        <is>
          <t>No</t>
        </is>
      </c>
      <c r="N423" s="2">
        <f>IF(AND($K423="Yes",$L423="Yes",$M423="Yes"),"Yes","No")</f>
        <v/>
      </c>
      <c r="O423" s="2" t="inlineStr"/>
    </row>
    <row r="424">
      <c r="A424" s="2" t="inlineStr">
        <is>
          <t>CARD-00415</t>
        </is>
      </c>
      <c r="B424" s="2" t="inlineStr">
        <is>
          <t>SCARSTECH BLASTER</t>
        </is>
      </c>
      <c r="C424" s="2" t="inlineStr">
        <is>
          <t>CHST</t>
        </is>
      </c>
      <c r="D424" s="2" t="inlineStr">
        <is>
          <t>055</t>
        </is>
      </c>
      <c r="E424" s="2" t="inlineStr">
        <is>
          <t>Chronicles of the Starborn</t>
        </is>
      </c>
      <c r="F424" s="2" t="inlineStr">
        <is>
          <t>Trap</t>
        </is>
      </c>
      <c r="G424" s="2" t="inlineStr">
        <is>
          <t>Trap / Normal</t>
        </is>
      </c>
      <c r="H424" s="2" t="inlineStr">
        <is>
          <t>Scarstech</t>
        </is>
      </c>
      <c r="I424" s="2" t="inlineStr">
        <is>
          <t>2025-11-19</t>
        </is>
      </c>
      <c r="J424" s="2" t="inlineStr">
        <is>
          <t>/assets/cards/Scarstech_Blaster.jpeg</t>
        </is>
      </c>
      <c r="K424" s="2" t="inlineStr">
        <is>
          <t>No</t>
        </is>
      </c>
      <c r="L424" s="2" t="inlineStr">
        <is>
          <t>No</t>
        </is>
      </c>
      <c r="M424" s="2" t="inlineStr">
        <is>
          <t>No</t>
        </is>
      </c>
      <c r="N424" s="2">
        <f>IF(AND($K424="Yes",$L424="Yes",$M424="Yes"),"Yes","No")</f>
        <v/>
      </c>
      <c r="O424" s="2" t="inlineStr"/>
    </row>
    <row r="425">
      <c r="A425" s="2" t="inlineStr">
        <is>
          <t>CARD-00416</t>
        </is>
      </c>
      <c r="B425" s="2" t="inlineStr">
        <is>
          <t>GRAVINITY ORBIT</t>
        </is>
      </c>
      <c r="C425" s="2" t="inlineStr">
        <is>
          <t>CHST</t>
        </is>
      </c>
      <c r="D425" s="2" t="inlineStr">
        <is>
          <t>056</t>
        </is>
      </c>
      <c r="E425" s="2" t="inlineStr">
        <is>
          <t>Chronicles of the Starborn</t>
        </is>
      </c>
      <c r="F425" s="2" t="inlineStr">
        <is>
          <t>Monster</t>
        </is>
      </c>
      <c r="G425" s="2" t="inlineStr">
        <is>
          <t>Cyberse / Effect</t>
        </is>
      </c>
      <c r="H425" s="2" t="inlineStr">
        <is>
          <t>Gravinity</t>
        </is>
      </c>
      <c r="I425" s="2" t="inlineStr">
        <is>
          <t>2025-11-19</t>
        </is>
      </c>
      <c r="J425" s="2" t="inlineStr">
        <is>
          <t>/assets/cards/Gravinity_Orbit.jpeg</t>
        </is>
      </c>
      <c r="K425" s="2" t="inlineStr">
        <is>
          <t>No</t>
        </is>
      </c>
      <c r="L425" s="2" t="inlineStr">
        <is>
          <t>No</t>
        </is>
      </c>
      <c r="M425" s="2" t="inlineStr">
        <is>
          <t>No</t>
        </is>
      </c>
      <c r="N425" s="2">
        <f>IF(AND($K425="Yes",$L425="Yes",$M425="Yes"),"Yes","No")</f>
        <v/>
      </c>
      <c r="O425" s="2" t="inlineStr"/>
    </row>
    <row r="426">
      <c r="A426" s="2" t="inlineStr">
        <is>
          <t>CARD-00416X</t>
        </is>
      </c>
      <c r="B426" s="2" t="inlineStr">
        <is>
          <t>NIFAL, THE SCARSTECH WAR MACHINE</t>
        </is>
      </c>
      <c r="C426" s="2" t="inlineStr">
        <is>
          <t>CHST</t>
        </is>
      </c>
      <c r="D426" s="2" t="inlineStr">
        <is>
          <t>057</t>
        </is>
      </c>
      <c r="E426" s="2" t="inlineStr">
        <is>
          <t>Chronicles of the Starborn</t>
        </is>
      </c>
      <c r="F426" s="2" t="inlineStr">
        <is>
          <t>Monster</t>
        </is>
      </c>
      <c r="G426" s="2" t="inlineStr">
        <is>
          <t>Galaxy / Link / Effect</t>
        </is>
      </c>
      <c r="H426" s="2" t="inlineStr">
        <is>
          <t>Scarstech</t>
        </is>
      </c>
      <c r="I426" s="2" t="inlineStr">
        <is>
          <t>2025-11-19</t>
        </is>
      </c>
      <c r="J426" s="2" t="inlineStr">
        <is>
          <t>/assets/cards/Nifal_the_Scarstech_War_Machine.jpeg</t>
        </is>
      </c>
      <c r="K426" s="2" t="inlineStr">
        <is>
          <t>No</t>
        </is>
      </c>
      <c r="L426" s="2" t="inlineStr">
        <is>
          <t>No</t>
        </is>
      </c>
      <c r="M426" s="2" t="inlineStr">
        <is>
          <t>No</t>
        </is>
      </c>
      <c r="N426" s="2">
        <f>IF(AND($K426="Yes",$L426="Yes",$M426="Yes"),"Yes","No")</f>
        <v/>
      </c>
      <c r="O426" s="2" t="inlineStr"/>
    </row>
    <row r="427">
      <c r="A427" s="2" t="inlineStr">
        <is>
          <t>CARD-00417</t>
        </is>
      </c>
      <c r="B427" s="2" t="inlineStr">
        <is>
          <t>GRAVINITY PLASMA</t>
        </is>
      </c>
      <c r="C427" s="2" t="inlineStr">
        <is>
          <t>CHST</t>
        </is>
      </c>
      <c r="D427" s="2" t="inlineStr">
        <is>
          <t>058</t>
        </is>
      </c>
      <c r="E427" s="2" t="inlineStr">
        <is>
          <t>Chronicles of the Starborn</t>
        </is>
      </c>
      <c r="F427" s="2" t="inlineStr">
        <is>
          <t>Monster</t>
        </is>
      </c>
      <c r="G427" s="2" t="inlineStr">
        <is>
          <t>Cyberse / Effect</t>
        </is>
      </c>
      <c r="H427" s="2" t="inlineStr">
        <is>
          <t>Gravinity</t>
        </is>
      </c>
      <c r="I427" s="2" t="inlineStr">
        <is>
          <t>2025-11-19</t>
        </is>
      </c>
      <c r="J427" s="2" t="inlineStr">
        <is>
          <t>/assets/cards/Gravinity_Plasma.jpeg</t>
        </is>
      </c>
      <c r="K427" s="2" t="inlineStr">
        <is>
          <t>No</t>
        </is>
      </c>
      <c r="L427" s="2" t="inlineStr">
        <is>
          <t>No</t>
        </is>
      </c>
      <c r="M427" s="2" t="inlineStr">
        <is>
          <t>No</t>
        </is>
      </c>
      <c r="N427" s="2">
        <f>IF(AND($K427="Yes",$L427="Yes",$M427="Yes"),"Yes","No")</f>
        <v/>
      </c>
      <c r="O427" s="2" t="inlineStr"/>
    </row>
    <row r="428">
      <c r="A428" s="2" t="inlineStr">
        <is>
          <t>CARD-0X417</t>
        </is>
      </c>
      <c r="B428" s="2" t="inlineStr">
        <is>
          <t>RATSACH, THE SCARSTECH CRUISER</t>
        </is>
      </c>
      <c r="C428" s="2" t="inlineStr">
        <is>
          <t>CHST</t>
        </is>
      </c>
      <c r="D428" s="2" t="inlineStr">
        <is>
          <t>059</t>
        </is>
      </c>
      <c r="E428" s="2" t="inlineStr">
        <is>
          <t>Chronicles of the Starborn</t>
        </is>
      </c>
      <c r="F428" s="2" t="inlineStr">
        <is>
          <t>Monster</t>
        </is>
      </c>
      <c r="G428" s="2" t="inlineStr">
        <is>
          <t>Galaxy / Link / Effect</t>
        </is>
      </c>
      <c r="H428" s="2" t="inlineStr">
        <is>
          <t>Scarstech</t>
        </is>
      </c>
      <c r="I428" s="2" t="inlineStr">
        <is>
          <t>2025-11-19</t>
        </is>
      </c>
      <c r="J428" s="2" t="inlineStr">
        <is>
          <t>/assets/cards/Ratsach_the_Scarstech_Cruiser.jpeg</t>
        </is>
      </c>
      <c r="K428" s="2" t="inlineStr">
        <is>
          <t>No</t>
        </is>
      </c>
      <c r="L428" s="2" t="inlineStr">
        <is>
          <t>No</t>
        </is>
      </c>
      <c r="M428" s="2" t="inlineStr">
        <is>
          <t>No</t>
        </is>
      </c>
      <c r="N428" s="2">
        <f>IF(AND($K428="Yes",$L428="Yes",$M428="Yes"),"Yes","No")</f>
        <v/>
      </c>
      <c r="O428" s="2" t="inlineStr"/>
    </row>
    <row r="429">
      <c r="A429" s="2" t="inlineStr">
        <is>
          <t>CARD-00418</t>
        </is>
      </c>
      <c r="B429" s="2" t="inlineStr">
        <is>
          <t>GRAVINITY PULSE</t>
        </is>
      </c>
      <c r="C429" s="2" t="inlineStr">
        <is>
          <t>CHST</t>
        </is>
      </c>
      <c r="D429" s="2" t="inlineStr">
        <is>
          <t>060</t>
        </is>
      </c>
      <c r="E429" s="2" t="inlineStr">
        <is>
          <t>Chronicles of the Starborn</t>
        </is>
      </c>
      <c r="F429" s="2" t="inlineStr">
        <is>
          <t>Monster</t>
        </is>
      </c>
      <c r="G429" s="2" t="inlineStr">
        <is>
          <t>Cyberse / Tuner / Effect</t>
        </is>
      </c>
      <c r="H429" s="2" t="inlineStr">
        <is>
          <t>Gravinity</t>
        </is>
      </c>
      <c r="I429" s="2" t="inlineStr">
        <is>
          <t>2025-11-19</t>
        </is>
      </c>
      <c r="J429" s="2" t="inlineStr">
        <is>
          <t>/assets/cards/Gravinity_Pulse.jpeg</t>
        </is>
      </c>
      <c r="K429" s="2" t="inlineStr">
        <is>
          <t>No</t>
        </is>
      </c>
      <c r="L429" s="2" t="inlineStr">
        <is>
          <t>No</t>
        </is>
      </c>
      <c r="M429" s="2" t="inlineStr">
        <is>
          <t>No</t>
        </is>
      </c>
      <c r="N429" s="2">
        <f>IF(AND($K429="Yes",$L429="Yes",$M429="Yes"),"Yes","No")</f>
        <v/>
      </c>
      <c r="O429" s="2" t="inlineStr"/>
    </row>
    <row r="430">
      <c r="A430" s="2" t="inlineStr">
        <is>
          <t>CARD-0X418</t>
        </is>
      </c>
      <c r="B430" s="2" t="inlineStr">
        <is>
          <t>SCARSTECH CRAWLER</t>
        </is>
      </c>
      <c r="C430" s="2" t="inlineStr">
        <is>
          <t>CHST</t>
        </is>
      </c>
      <c r="D430" s="2" t="inlineStr">
        <is>
          <t>061</t>
        </is>
      </c>
      <c r="E430" s="2" t="inlineStr">
        <is>
          <t>Chronicles of the Starborn</t>
        </is>
      </c>
      <c r="F430" s="2" t="inlineStr">
        <is>
          <t>Monster</t>
        </is>
      </c>
      <c r="G430" s="2" t="inlineStr">
        <is>
          <t>Galaxy / Link / Effect</t>
        </is>
      </c>
      <c r="H430" s="2" t="inlineStr">
        <is>
          <t>Scarstech</t>
        </is>
      </c>
      <c r="I430" s="2" t="inlineStr">
        <is>
          <t>2025-11-19</t>
        </is>
      </c>
      <c r="J430" s="2" t="inlineStr">
        <is>
          <t>/assets/cards/Scarstech_Crawler.jpeg</t>
        </is>
      </c>
      <c r="K430" s="2" t="inlineStr">
        <is>
          <t>No</t>
        </is>
      </c>
      <c r="L430" s="2" t="inlineStr">
        <is>
          <t>No</t>
        </is>
      </c>
      <c r="M430" s="2" t="inlineStr">
        <is>
          <t>No</t>
        </is>
      </c>
      <c r="N430" s="2">
        <f>IF(AND($K430="Yes",$L430="Yes",$M430="Yes"),"Yes","No")</f>
        <v/>
      </c>
      <c r="O430" s="2" t="inlineStr"/>
    </row>
    <row r="431">
      <c r="A431" s="2" t="inlineStr">
        <is>
          <t>CARD-00419</t>
        </is>
      </c>
      <c r="B431" s="2" t="inlineStr">
        <is>
          <t>CHAOS HONEST</t>
        </is>
      </c>
      <c r="C431" s="2" t="inlineStr">
        <is>
          <t>CHST</t>
        </is>
      </c>
      <c r="D431" s="2" t="inlineStr">
        <is>
          <t>062</t>
        </is>
      </c>
      <c r="E431" s="2" t="inlineStr">
        <is>
          <t>Chronicles of the Starborn</t>
        </is>
      </c>
      <c r="F431" s="2" t="inlineStr">
        <is>
          <t>Monster</t>
        </is>
      </c>
      <c r="G431" s="2" t="inlineStr">
        <is>
          <t>Fairy / Link / Effect</t>
        </is>
      </c>
      <c r="H431" s="2" t="inlineStr"/>
      <c r="I431" s="2" t="inlineStr">
        <is>
          <t>2025-11-19</t>
        </is>
      </c>
      <c r="J431" s="2" t="inlineStr">
        <is>
          <t>/assets/cards/Chaos_Honest.jpeg</t>
        </is>
      </c>
      <c r="K431" s="2" t="inlineStr">
        <is>
          <t>No</t>
        </is>
      </c>
      <c r="L431" s="2" t="inlineStr">
        <is>
          <t>No</t>
        </is>
      </c>
      <c r="M431" s="2" t="inlineStr">
        <is>
          <t>No</t>
        </is>
      </c>
      <c r="N431" s="2">
        <f>IF(AND($K431="Yes",$L431="Yes",$M431="Yes"),"Yes","No")</f>
        <v/>
      </c>
      <c r="O431" s="2" t="inlineStr"/>
    </row>
    <row r="432">
      <c r="A432" s="2" t="inlineStr">
        <is>
          <t>CARD-00420</t>
        </is>
      </c>
      <c r="B432" s="2" t="inlineStr">
        <is>
          <t>GRAVINITY STAR</t>
        </is>
      </c>
      <c r="C432" s="2" t="inlineStr">
        <is>
          <t>CHST</t>
        </is>
      </c>
      <c r="D432" s="2" t="inlineStr">
        <is>
          <t>063</t>
        </is>
      </c>
      <c r="E432" s="2" t="inlineStr">
        <is>
          <t>Chronicles of the Starborn</t>
        </is>
      </c>
      <c r="F432" s="2" t="inlineStr">
        <is>
          <t>Monster</t>
        </is>
      </c>
      <c r="G432" s="2" t="inlineStr">
        <is>
          <t>Cyberse / Tuner / Effect</t>
        </is>
      </c>
      <c r="H432" s="2" t="inlineStr">
        <is>
          <t>Gravinity</t>
        </is>
      </c>
      <c r="I432" s="2" t="inlineStr">
        <is>
          <t>2025-11-19</t>
        </is>
      </c>
      <c r="J432" s="2" t="inlineStr">
        <is>
          <t>/assets/cards/Gravinity_Star_1.jpeg</t>
        </is>
      </c>
      <c r="K432" s="2" t="inlineStr">
        <is>
          <t>No</t>
        </is>
      </c>
      <c r="L432" s="2" t="inlineStr">
        <is>
          <t>No</t>
        </is>
      </c>
      <c r="M432" s="2" t="inlineStr">
        <is>
          <t>No</t>
        </is>
      </c>
      <c r="N432" s="2">
        <f>IF(AND($K432="Yes",$L432="Yes",$M432="Yes"),"Yes","No")</f>
        <v/>
      </c>
      <c r="O432" s="2" t="inlineStr"/>
    </row>
    <row r="433">
      <c r="A433" s="2" t="inlineStr">
        <is>
          <t>CARD-00421</t>
        </is>
      </c>
      <c r="B433" s="2" t="inlineStr">
        <is>
          <t>GRAVINITY LAPSIX</t>
        </is>
      </c>
      <c r="C433" s="2" t="inlineStr">
        <is>
          <t>CHST</t>
        </is>
      </c>
      <c r="D433" s="2" t="inlineStr">
        <is>
          <t>064</t>
        </is>
      </c>
      <c r="E433" s="2" t="inlineStr">
        <is>
          <t>Chronicles of the Starborn</t>
        </is>
      </c>
      <c r="F433" s="2" t="inlineStr">
        <is>
          <t>Monster</t>
        </is>
      </c>
      <c r="G433" s="2" t="inlineStr">
        <is>
          <t>Cyberse / Synchro / Effect</t>
        </is>
      </c>
      <c r="H433" s="2" t="inlineStr">
        <is>
          <t>Gravinity</t>
        </is>
      </c>
      <c r="I433" s="2" t="inlineStr">
        <is>
          <t>2025-11-19</t>
        </is>
      </c>
      <c r="J433" s="2" t="inlineStr">
        <is>
          <t>/assets/cards/Gravinity_Lapsix.jpeg</t>
        </is>
      </c>
      <c r="K433" s="2" t="inlineStr">
        <is>
          <t>No</t>
        </is>
      </c>
      <c r="L433" s="2" t="inlineStr">
        <is>
          <t>No</t>
        </is>
      </c>
      <c r="M433" s="2" t="inlineStr">
        <is>
          <t>No</t>
        </is>
      </c>
      <c r="N433" s="2">
        <f>IF(AND($K433="Yes",$L433="Yes",$M433="Yes"),"Yes","No")</f>
        <v/>
      </c>
      <c r="O433" s="2" t="inlineStr"/>
    </row>
    <row r="434">
      <c r="A434" s="2" t="inlineStr">
        <is>
          <t>CARD-00422</t>
        </is>
      </c>
      <c r="B434" s="2" t="inlineStr">
        <is>
          <t>GRAVINITY GALAXIX</t>
        </is>
      </c>
      <c r="C434" s="2" t="inlineStr">
        <is>
          <t>CHST</t>
        </is>
      </c>
      <c r="D434" s="2" t="inlineStr">
        <is>
          <t>065</t>
        </is>
      </c>
      <c r="E434" s="2" t="inlineStr">
        <is>
          <t>Chronicles of the Starborn</t>
        </is>
      </c>
      <c r="F434" s="2" t="inlineStr">
        <is>
          <t>Monster</t>
        </is>
      </c>
      <c r="G434" s="2" t="inlineStr">
        <is>
          <t>Cyberse / Synchro / Effect</t>
        </is>
      </c>
      <c r="H434" s="2" t="inlineStr">
        <is>
          <t>Gravinity</t>
        </is>
      </c>
      <c r="I434" s="2" t="inlineStr">
        <is>
          <t>2025-11-19</t>
        </is>
      </c>
      <c r="J434" s="2" t="inlineStr">
        <is>
          <t>/assets/cards/Gravinity_Galaxix.jpeg</t>
        </is>
      </c>
      <c r="K434" s="2" t="inlineStr">
        <is>
          <t>No</t>
        </is>
      </c>
      <c r="L434" s="2" t="inlineStr">
        <is>
          <t>No</t>
        </is>
      </c>
      <c r="M434" s="2" t="inlineStr">
        <is>
          <t>No</t>
        </is>
      </c>
      <c r="N434" s="2">
        <f>IF(AND($K434="Yes",$L434="Yes",$M434="Yes"),"Yes","No")</f>
        <v/>
      </c>
      <c r="O434" s="2" t="inlineStr"/>
    </row>
    <row r="435">
      <c r="A435" s="2" t="inlineStr">
        <is>
          <t>CARD-00424</t>
        </is>
      </c>
      <c r="B435" s="2" t="inlineStr">
        <is>
          <t>GRAVINITY NEBULIX</t>
        </is>
      </c>
      <c r="C435" s="2" t="inlineStr">
        <is>
          <t>CHST</t>
        </is>
      </c>
      <c r="D435" s="2" t="inlineStr">
        <is>
          <t>066</t>
        </is>
      </c>
      <c r="E435" s="2" t="inlineStr">
        <is>
          <t>Chronicles of the Starborn</t>
        </is>
      </c>
      <c r="F435" s="2" t="inlineStr">
        <is>
          <t>Monster</t>
        </is>
      </c>
      <c r="G435" s="2" t="inlineStr">
        <is>
          <t>Cyberse / Synchro / Effect</t>
        </is>
      </c>
      <c r="H435" s="2" t="inlineStr">
        <is>
          <t>Gravinity</t>
        </is>
      </c>
      <c r="I435" s="2" t="inlineStr">
        <is>
          <t>2025-11-19</t>
        </is>
      </c>
      <c r="J435" s="2" t="inlineStr">
        <is>
          <t>/assets/cards/Gravinity_Nebulix.jpeg</t>
        </is>
      </c>
      <c r="K435" s="2" t="inlineStr">
        <is>
          <t>No</t>
        </is>
      </c>
      <c r="L435" s="2" t="inlineStr">
        <is>
          <t>No</t>
        </is>
      </c>
      <c r="M435" s="2" t="inlineStr">
        <is>
          <t>No</t>
        </is>
      </c>
      <c r="N435" s="2">
        <f>IF(AND($K435="Yes",$L435="Yes",$M435="Yes"),"Yes","No")</f>
        <v/>
      </c>
      <c r="O435" s="2" t="inlineStr"/>
    </row>
    <row r="436">
      <c r="A436" s="2" t="inlineStr">
        <is>
          <t>CARD-00425</t>
        </is>
      </c>
      <c r="B436" s="2" t="inlineStr">
        <is>
          <t>GRAVINITY SPHERIX</t>
        </is>
      </c>
      <c r="C436" s="2" t="inlineStr">
        <is>
          <t>CHST</t>
        </is>
      </c>
      <c r="D436" s="2" t="inlineStr">
        <is>
          <t>067</t>
        </is>
      </c>
      <c r="E436" s="2" t="inlineStr">
        <is>
          <t>Chronicles of the Starborn</t>
        </is>
      </c>
      <c r="F436" s="2" t="inlineStr">
        <is>
          <t>Monster</t>
        </is>
      </c>
      <c r="G436" s="2" t="inlineStr">
        <is>
          <t>Cyberse / Synchro / Effect</t>
        </is>
      </c>
      <c r="H436" s="2" t="inlineStr">
        <is>
          <t>Gravinity</t>
        </is>
      </c>
      <c r="I436" s="2" t="inlineStr">
        <is>
          <t>2025-11-19</t>
        </is>
      </c>
      <c r="J436" s="2" t="inlineStr">
        <is>
          <t>/assets/cards/Gravinity_Spherix.jpeg</t>
        </is>
      </c>
      <c r="K436" s="2" t="inlineStr">
        <is>
          <t>No</t>
        </is>
      </c>
      <c r="L436" s="2" t="inlineStr">
        <is>
          <t>No</t>
        </is>
      </c>
      <c r="M436" s="2" t="inlineStr">
        <is>
          <t>No</t>
        </is>
      </c>
      <c r="N436" s="2">
        <f>IF(AND($K436="Yes",$L436="Yes",$M436="Yes"),"Yes","No")</f>
        <v/>
      </c>
      <c r="O436" s="2" t="inlineStr"/>
    </row>
    <row r="437">
      <c r="A437" s="2" t="inlineStr">
        <is>
          <t>CARD-00426</t>
        </is>
      </c>
      <c r="B437" s="2" t="inlineStr">
        <is>
          <t>GRAVINITY TRANSFER CALL</t>
        </is>
      </c>
      <c r="C437" s="2" t="inlineStr">
        <is>
          <t>CHST</t>
        </is>
      </c>
      <c r="D437" s="2" t="inlineStr">
        <is>
          <t>068</t>
        </is>
      </c>
      <c r="E437" s="2" t="inlineStr">
        <is>
          <t>Chronicles of the Starborn</t>
        </is>
      </c>
      <c r="F437" s="2" t="inlineStr">
        <is>
          <t>Spell</t>
        </is>
      </c>
      <c r="G437" s="2" t="inlineStr">
        <is>
          <t>Spell / Normal</t>
        </is>
      </c>
      <c r="H437" s="2" t="inlineStr">
        <is>
          <t>Gravinity</t>
        </is>
      </c>
      <c r="I437" s="2" t="inlineStr">
        <is>
          <t>2025-11-19</t>
        </is>
      </c>
      <c r="J437" s="2" t="inlineStr">
        <is>
          <t>/assets/cards/Gravinity_Transfer_Call.jpeg</t>
        </is>
      </c>
      <c r="K437" s="2" t="inlineStr">
        <is>
          <t>No</t>
        </is>
      </c>
      <c r="L437" s="2" t="inlineStr">
        <is>
          <t>No</t>
        </is>
      </c>
      <c r="M437" s="2" t="inlineStr">
        <is>
          <t>No</t>
        </is>
      </c>
      <c r="N437" s="2">
        <f>IF(AND($K437="Yes",$L437="Yes",$M437="Yes"),"Yes","No")</f>
        <v/>
      </c>
      <c r="O437" s="2" t="inlineStr"/>
    </row>
    <row r="438">
      <c r="A438" s="2" t="inlineStr">
        <is>
          <t>CARD-00427</t>
        </is>
      </c>
      <c r="B438" s="2" t="inlineStr">
        <is>
          <t>GRAVINITY GRAVITY PROTECTION</t>
        </is>
      </c>
      <c r="C438" s="2" t="inlineStr">
        <is>
          <t>CHST</t>
        </is>
      </c>
      <c r="D438" s="2" t="inlineStr">
        <is>
          <t>069</t>
        </is>
      </c>
      <c r="E438" s="2" t="inlineStr">
        <is>
          <t>Chronicles of the Starborn</t>
        </is>
      </c>
      <c r="F438" s="2" t="inlineStr">
        <is>
          <t>Spell</t>
        </is>
      </c>
      <c r="G438" s="2" t="inlineStr">
        <is>
          <t>Spell / Quick-Play</t>
        </is>
      </c>
      <c r="H438" s="2" t="inlineStr">
        <is>
          <t>Gravinity</t>
        </is>
      </c>
      <c r="I438" s="2" t="inlineStr">
        <is>
          <t>2025-11-19</t>
        </is>
      </c>
      <c r="J438" s="2" t="inlineStr">
        <is>
          <t>/assets/cards/Gravinity_Gravity_Protection.jpeg</t>
        </is>
      </c>
      <c r="K438" s="2" t="inlineStr">
        <is>
          <t>No</t>
        </is>
      </c>
      <c r="L438" s="2" t="inlineStr">
        <is>
          <t>No</t>
        </is>
      </c>
      <c r="M438" s="2" t="inlineStr">
        <is>
          <t>No</t>
        </is>
      </c>
      <c r="N438" s="2">
        <f>IF(AND($K438="Yes",$L438="Yes",$M438="Yes"),"Yes","No")</f>
        <v/>
      </c>
      <c r="O438" s="2" t="inlineStr"/>
    </row>
    <row r="439">
      <c r="A439" s="2" t="inlineStr">
        <is>
          <t>CARD-00428</t>
        </is>
      </c>
      <c r="B439" s="2" t="inlineStr">
        <is>
          <t>GRAVINITY AXIS MATTER</t>
        </is>
      </c>
      <c r="C439" s="2" t="inlineStr">
        <is>
          <t>CHST</t>
        </is>
      </c>
      <c r="D439" s="2" t="inlineStr">
        <is>
          <t>070</t>
        </is>
      </c>
      <c r="E439" s="2" t="inlineStr">
        <is>
          <t>Chronicles of the Starborn</t>
        </is>
      </c>
      <c r="F439" s="2" t="inlineStr">
        <is>
          <t>Spell</t>
        </is>
      </c>
      <c r="G439" s="2" t="inlineStr">
        <is>
          <t>Spell / Field</t>
        </is>
      </c>
      <c r="H439" s="2" t="inlineStr">
        <is>
          <t>Gravinity</t>
        </is>
      </c>
      <c r="I439" s="2" t="inlineStr">
        <is>
          <t>2025-11-19</t>
        </is>
      </c>
      <c r="J439" s="2" t="inlineStr">
        <is>
          <t>/assets/cards/Gravinity_Axis_Matter.jpeg</t>
        </is>
      </c>
      <c r="K439" s="2" t="inlineStr">
        <is>
          <t>No</t>
        </is>
      </c>
      <c r="L439" s="2" t="inlineStr">
        <is>
          <t>No</t>
        </is>
      </c>
      <c r="M439" s="2" t="inlineStr">
        <is>
          <t>No</t>
        </is>
      </c>
      <c r="N439" s="2">
        <f>IF(AND($K439="Yes",$L439="Yes",$M439="Yes"),"Yes","No")</f>
        <v/>
      </c>
      <c r="O439" s="2" t="inlineStr"/>
    </row>
    <row r="440">
      <c r="A440" s="2" t="inlineStr">
        <is>
          <t>CARD-00429</t>
        </is>
      </c>
      <c r="B440" s="2" t="inlineStr">
        <is>
          <t>GRAVINITY SONIC SCREAM</t>
        </is>
      </c>
      <c r="C440" s="2" t="inlineStr">
        <is>
          <t>CHST</t>
        </is>
      </c>
      <c r="D440" s="2" t="inlineStr">
        <is>
          <t>071</t>
        </is>
      </c>
      <c r="E440" s="2" t="inlineStr">
        <is>
          <t>Chronicles of the Starborn</t>
        </is>
      </c>
      <c r="F440" s="2" t="inlineStr">
        <is>
          <t>Trap</t>
        </is>
      </c>
      <c r="G440" s="2" t="inlineStr">
        <is>
          <t>Trap / Normal</t>
        </is>
      </c>
      <c r="H440" s="2" t="inlineStr">
        <is>
          <t>Gravinity</t>
        </is>
      </c>
      <c r="I440" s="2" t="inlineStr">
        <is>
          <t>2025-11-19</t>
        </is>
      </c>
      <c r="J440" s="2" t="inlineStr">
        <is>
          <t>/assets/cards/Gravinity_Sonic_Scream.jpeg</t>
        </is>
      </c>
      <c r="K440" s="2" t="inlineStr">
        <is>
          <t>No</t>
        </is>
      </c>
      <c r="L440" s="2" t="inlineStr">
        <is>
          <t>No</t>
        </is>
      </c>
      <c r="M440" s="2" t="inlineStr">
        <is>
          <t>No</t>
        </is>
      </c>
      <c r="N440" s="2">
        <f>IF(AND($K440="Yes",$L440="Yes",$M440="Yes"),"Yes","No")</f>
        <v/>
      </c>
      <c r="O440" s="2" t="inlineStr"/>
    </row>
    <row r="441">
      <c r="A441" s="2" t="inlineStr">
        <is>
          <t>CARD-00430</t>
        </is>
      </c>
      <c r="B441" s="2" t="inlineStr">
        <is>
          <t>Unbinding the Soul</t>
        </is>
      </c>
      <c r="C441" s="2" t="inlineStr">
        <is>
          <t>CHST</t>
        </is>
      </c>
      <c r="D441" s="2" t="inlineStr">
        <is>
          <t>72</t>
        </is>
      </c>
      <c r="E441" s="2" t="inlineStr">
        <is>
          <t>Chronicles of the Starborn</t>
        </is>
      </c>
      <c r="F441" s="2" t="inlineStr">
        <is>
          <t>Spell</t>
        </is>
      </c>
      <c r="G441" s="2" t="inlineStr">
        <is>
          <t>Spell / Quick-Play</t>
        </is>
      </c>
      <c r="H441" s="2" t="inlineStr"/>
      <c r="I441" s="2" t="inlineStr">
        <is>
          <t>2025-11-19</t>
        </is>
      </c>
      <c r="J441" s="2" t="inlineStr">
        <is>
          <t>/assets/cards/Unbinding_the_Soul.jpeg</t>
        </is>
      </c>
      <c r="K441" s="2" t="inlineStr">
        <is>
          <t>No</t>
        </is>
      </c>
      <c r="L441" s="2" t="inlineStr">
        <is>
          <t>No</t>
        </is>
      </c>
      <c r="M441" s="2" t="inlineStr">
        <is>
          <t>No</t>
        </is>
      </c>
      <c r="N441" s="2">
        <f>IF(AND($K441="Yes",$L441="Yes",$M441="Yes"),"Yes","No")</f>
        <v/>
      </c>
      <c r="O441" s="2" t="inlineStr"/>
    </row>
    <row r="442">
      <c r="A442" s="2" t="inlineStr">
        <is>
          <t>CARD-00431</t>
        </is>
      </c>
      <c r="B442" s="2" t="inlineStr">
        <is>
          <t>ECLIPSE SUMMONING</t>
        </is>
      </c>
      <c r="C442" s="2" t="inlineStr">
        <is>
          <t>CHST</t>
        </is>
      </c>
      <c r="D442" s="2" t="inlineStr">
        <is>
          <t>073</t>
        </is>
      </c>
      <c r="E442" s="2" t="inlineStr">
        <is>
          <t>Chronicles of the Starborn</t>
        </is>
      </c>
      <c r="F442" s="2" t="inlineStr">
        <is>
          <t>Trap</t>
        </is>
      </c>
      <c r="G442" s="2" t="inlineStr">
        <is>
          <t>Trap / Normal</t>
        </is>
      </c>
      <c r="H442" s="2" t="inlineStr"/>
      <c r="I442" s="2" t="inlineStr">
        <is>
          <t>2025-11-19</t>
        </is>
      </c>
      <c r="J442" s="2" t="inlineStr">
        <is>
          <t>/assets/cards/Eclipse_Summoning.jpeg</t>
        </is>
      </c>
      <c r="K442" s="2" t="inlineStr">
        <is>
          <t>No</t>
        </is>
      </c>
      <c r="L442" s="2" t="inlineStr">
        <is>
          <t>No</t>
        </is>
      </c>
      <c r="M442" s="2" t="inlineStr">
        <is>
          <t>No</t>
        </is>
      </c>
      <c r="N442" s="2">
        <f>IF(AND($K442="Yes",$L442="Yes",$M442="Yes"),"Yes","No")</f>
        <v/>
      </c>
      <c r="O442" s="2" t="inlineStr"/>
    </row>
    <row r="443">
      <c r="A443" s="2" t="inlineStr">
        <is>
          <t>CARD-00432</t>
        </is>
      </c>
      <c r="B443" s="2" t="inlineStr">
        <is>
          <t>Lowkey Lowkey</t>
        </is>
      </c>
      <c r="C443" s="2" t="inlineStr">
        <is>
          <t>CHST</t>
        </is>
      </c>
      <c r="D443" s="2" t="inlineStr">
        <is>
          <t>074</t>
        </is>
      </c>
      <c r="E443" s="2" t="inlineStr">
        <is>
          <t>Chronicles of the Starborn</t>
        </is>
      </c>
      <c r="F443" s="2" t="inlineStr">
        <is>
          <t>Monster</t>
        </is>
      </c>
      <c r="G443" s="2" t="inlineStr">
        <is>
          <t>Fiend / Normal</t>
        </is>
      </c>
      <c r="H443" s="2" t="inlineStr"/>
      <c r="I443" s="2" t="inlineStr">
        <is>
          <t>2025-11-19</t>
        </is>
      </c>
      <c r="J443" s="2" t="inlineStr">
        <is>
          <t>/assets/cards/Lowkey_Lowkey.jpeg</t>
        </is>
      </c>
      <c r="K443" s="2" t="inlineStr">
        <is>
          <t>No</t>
        </is>
      </c>
      <c r="L443" s="2" t="inlineStr">
        <is>
          <t>No</t>
        </is>
      </c>
      <c r="M443" s="2" t="inlineStr">
        <is>
          <t>No</t>
        </is>
      </c>
      <c r="N443" s="2">
        <f>IF(AND($K443="Yes",$L443="Yes",$M443="Yes"),"Yes","No")</f>
        <v/>
      </c>
      <c r="O443" s="2" t="inlineStr"/>
    </row>
    <row r="444">
      <c r="A444" s="2" t="inlineStr">
        <is>
          <t>CARD-00433</t>
        </is>
      </c>
      <c r="B444" s="2" t="inlineStr">
        <is>
          <t>Flower Cardian Moonflare</t>
        </is>
      </c>
      <c r="C444" s="2" t="inlineStr">
        <is>
          <t>CHST</t>
        </is>
      </c>
      <c r="D444" s="2" t="inlineStr">
        <is>
          <t>075</t>
        </is>
      </c>
      <c r="E444" s="2" t="inlineStr">
        <is>
          <t>Chronicles of the Starborn</t>
        </is>
      </c>
      <c r="F444" s="2" t="inlineStr">
        <is>
          <t>Monster</t>
        </is>
      </c>
      <c r="G444" s="2" t="inlineStr">
        <is>
          <t>Warrior / Effect / Synchro</t>
        </is>
      </c>
      <c r="H444" s="2" t="inlineStr">
        <is>
          <t>Cardian</t>
        </is>
      </c>
      <c r="I444" s="2" t="inlineStr">
        <is>
          <t>2025-11-19</t>
        </is>
      </c>
      <c r="J444" s="2" t="inlineStr">
        <is>
          <t>/assets/cards/Flower_Cardian_Moonflare.jpeg</t>
        </is>
      </c>
      <c r="K444" s="2" t="inlineStr">
        <is>
          <t>No</t>
        </is>
      </c>
      <c r="L444" s="2" t="inlineStr">
        <is>
          <t>No</t>
        </is>
      </c>
      <c r="M444" s="2" t="inlineStr">
        <is>
          <t>No</t>
        </is>
      </c>
      <c r="N444" s="2">
        <f>IF(AND($K444="Yes",$L444="Yes",$M444="Yes"),"Yes","No")</f>
        <v/>
      </c>
      <c r="O444" s="2" t="inlineStr"/>
    </row>
    <row r="445">
      <c r="A445" s="2" t="inlineStr">
        <is>
          <t>CARD-00434</t>
        </is>
      </c>
      <c r="B445" s="2" t="inlineStr">
        <is>
          <t>Stardust Comet</t>
        </is>
      </c>
      <c r="C445" s="2" t="inlineStr">
        <is>
          <t>CHST</t>
        </is>
      </c>
      <c r="D445" s="2" t="inlineStr">
        <is>
          <t>076</t>
        </is>
      </c>
      <c r="E445" s="2" t="inlineStr">
        <is>
          <t>Chronicles of the Starborn</t>
        </is>
      </c>
      <c r="F445" s="2" t="inlineStr">
        <is>
          <t>Monster</t>
        </is>
      </c>
      <c r="G445" s="2" t="inlineStr">
        <is>
          <t>Machine / Effect</t>
        </is>
      </c>
      <c r="H445" s="2" t="inlineStr">
        <is>
          <t>Stardust</t>
        </is>
      </c>
      <c r="I445" s="2" t="inlineStr">
        <is>
          <t>2025-11-19</t>
        </is>
      </c>
      <c r="J445" s="2" t="inlineStr">
        <is>
          <t>/assets/cards/Stardust_Comet.jpeg</t>
        </is>
      </c>
      <c r="K445" s="2" t="inlineStr">
        <is>
          <t>No</t>
        </is>
      </c>
      <c r="L445" s="2" t="inlineStr">
        <is>
          <t>No</t>
        </is>
      </c>
      <c r="M445" s="2" t="inlineStr">
        <is>
          <t>No</t>
        </is>
      </c>
      <c r="N445" s="2">
        <f>IF(AND($K445="Yes",$L445="Yes",$M445="Yes"),"Yes","No")</f>
        <v/>
      </c>
      <c r="O445" s="2" t="inlineStr"/>
    </row>
    <row r="446">
      <c r="A446" s="2" t="inlineStr">
        <is>
          <t>CARD-00435</t>
        </is>
      </c>
      <c r="B446" s="2" t="inlineStr">
        <is>
          <t>Interwire Dimensquid</t>
        </is>
      </c>
      <c r="C446" s="2" t="inlineStr">
        <is>
          <t>CHST</t>
        </is>
      </c>
      <c r="D446" s="2" t="inlineStr">
        <is>
          <t>077</t>
        </is>
      </c>
      <c r="E446" s="2" t="inlineStr">
        <is>
          <t>Chronicles of the Starborn</t>
        </is>
      </c>
      <c r="F446" s="2" t="inlineStr">
        <is>
          <t>Monster</t>
        </is>
      </c>
      <c r="G446" s="2" t="inlineStr">
        <is>
          <t>Psychic / Effect / Tuner</t>
        </is>
      </c>
      <c r="H446" s="2" t="inlineStr"/>
      <c r="I446" s="2" t="inlineStr">
        <is>
          <t>2025-11-19</t>
        </is>
      </c>
      <c r="J446" s="2" t="inlineStr">
        <is>
          <t>/assets/cards/Interwire_Dimensquid_1.jpeg</t>
        </is>
      </c>
      <c r="K446" s="2" t="inlineStr">
        <is>
          <t>No</t>
        </is>
      </c>
      <c r="L446" s="2" t="inlineStr">
        <is>
          <t>No</t>
        </is>
      </c>
      <c r="M446" s="2" t="inlineStr">
        <is>
          <t>No</t>
        </is>
      </c>
      <c r="N446" s="2">
        <f>IF(AND($K446="Yes",$L446="Yes",$M446="Yes"),"Yes","No")</f>
        <v/>
      </c>
      <c r="O446" s="2" t="inlineStr"/>
    </row>
    <row r="447">
      <c r="A447" s="2" t="inlineStr">
        <is>
          <t>CARD-00436</t>
        </is>
      </c>
      <c r="B447" s="2" t="inlineStr">
        <is>
          <t>Oracle of the Herald</t>
        </is>
      </c>
      <c r="C447" s="2" t="inlineStr">
        <is>
          <t>CHST</t>
        </is>
      </c>
      <c r="D447" s="2" t="inlineStr">
        <is>
          <t>078</t>
        </is>
      </c>
      <c r="E447" s="2" t="inlineStr">
        <is>
          <t>Chronicles of the Starborn</t>
        </is>
      </c>
      <c r="F447" s="2" t="inlineStr">
        <is>
          <t>Monster</t>
        </is>
      </c>
      <c r="G447" s="2" t="inlineStr">
        <is>
          <t>Fairy / Effect / Tuner</t>
        </is>
      </c>
      <c r="H447" s="2" t="inlineStr">
        <is>
          <t>Herald</t>
        </is>
      </c>
      <c r="I447" s="2" t="inlineStr">
        <is>
          <t>2025-11-19</t>
        </is>
      </c>
      <c r="J447" s="2" t="inlineStr">
        <is>
          <t>/assets/cards/Oracle_of_the_Herald.jpeg</t>
        </is>
      </c>
      <c r="K447" s="2" t="inlineStr">
        <is>
          <t>No</t>
        </is>
      </c>
      <c r="L447" s="2" t="inlineStr">
        <is>
          <t>No</t>
        </is>
      </c>
      <c r="M447" s="2" t="inlineStr">
        <is>
          <t>No</t>
        </is>
      </c>
      <c r="N447" s="2">
        <f>IF(AND($K447="Yes",$L447="Yes",$M447="Yes"),"Yes","No")</f>
        <v/>
      </c>
      <c r="O447" s="2" t="inlineStr"/>
    </row>
    <row r="448">
      <c r="A448" s="2" t="inlineStr">
        <is>
          <t>CARD-00437</t>
        </is>
      </c>
      <c r="B448" s="2" t="inlineStr">
        <is>
          <t>Galacticarina</t>
        </is>
      </c>
      <c r="C448" s="2" t="inlineStr">
        <is>
          <t>CHST</t>
        </is>
      </c>
      <c r="D448" s="2" t="inlineStr">
        <is>
          <t>079</t>
        </is>
      </c>
      <c r="E448" s="2" t="inlineStr">
        <is>
          <t>Chronicles of the Starborn</t>
        </is>
      </c>
      <c r="F448" s="2" t="inlineStr">
        <is>
          <t>Monster</t>
        </is>
      </c>
      <c r="G448" s="2" t="inlineStr">
        <is>
          <t>Warrior / Effect</t>
        </is>
      </c>
      <c r="H448" s="2" t="inlineStr">
        <is>
          <t>Galactica</t>
        </is>
      </c>
      <c r="I448" s="2" t="inlineStr">
        <is>
          <t>2025-11-19</t>
        </is>
      </c>
      <c r="J448" s="2" t="inlineStr">
        <is>
          <t>/assets/cards/Galacticarina.jpeg</t>
        </is>
      </c>
      <c r="K448" s="2" t="inlineStr">
        <is>
          <t>No</t>
        </is>
      </c>
      <c r="L448" s="2" t="inlineStr">
        <is>
          <t>No</t>
        </is>
      </c>
      <c r="M448" s="2" t="inlineStr">
        <is>
          <t>No</t>
        </is>
      </c>
      <c r="N448" s="2">
        <f>IF(AND($K448="Yes",$L448="Yes",$M448="Yes"),"Yes","No")</f>
        <v/>
      </c>
      <c r="O448" s="2" t="inlineStr"/>
    </row>
    <row r="449">
      <c r="A449" s="2" t="inlineStr">
        <is>
          <t>CARD-00438</t>
        </is>
      </c>
      <c r="B449" s="2" t="inlineStr">
        <is>
          <t>Galacticassiopeia</t>
        </is>
      </c>
      <c r="C449" s="2" t="inlineStr">
        <is>
          <t>CHST</t>
        </is>
      </c>
      <c r="D449" s="2" t="inlineStr">
        <is>
          <t>080</t>
        </is>
      </c>
      <c r="E449" s="2" t="inlineStr">
        <is>
          <t>Chronicles of the Starborn</t>
        </is>
      </c>
      <c r="F449" s="2" t="inlineStr">
        <is>
          <t>Monster</t>
        </is>
      </c>
      <c r="G449" s="2" t="inlineStr">
        <is>
          <t>Warrior / Effect</t>
        </is>
      </c>
      <c r="H449" s="2" t="inlineStr">
        <is>
          <t>Galactica</t>
        </is>
      </c>
      <c r="I449" s="2" t="inlineStr">
        <is>
          <t>2025-11-19</t>
        </is>
      </c>
      <c r="J449" s="2" t="inlineStr">
        <is>
          <t>/assets/cards/Galacticassiopeia.jpeg</t>
        </is>
      </c>
      <c r="K449" s="2" t="inlineStr">
        <is>
          <t>No</t>
        </is>
      </c>
      <c r="L449" s="2" t="inlineStr">
        <is>
          <t>No</t>
        </is>
      </c>
      <c r="M449" s="2" t="inlineStr">
        <is>
          <t>No</t>
        </is>
      </c>
      <c r="N449" s="2">
        <f>IF(AND($K449="Yes",$L449="Yes",$M449="Yes"),"Yes","No")</f>
        <v/>
      </c>
      <c r="O449" s="2" t="inlineStr"/>
    </row>
    <row r="450">
      <c r="A450" s="2" t="inlineStr">
        <is>
          <t>CARD-00439</t>
        </is>
      </c>
      <c r="B450" s="2" t="inlineStr">
        <is>
          <t>Galacticanes Venatici</t>
        </is>
      </c>
      <c r="C450" s="2" t="inlineStr">
        <is>
          <t>CHST</t>
        </is>
      </c>
      <c r="D450" s="2" t="inlineStr">
        <is>
          <t>081</t>
        </is>
      </c>
      <c r="E450" s="2" t="inlineStr">
        <is>
          <t>Chronicles of the Starborn</t>
        </is>
      </c>
      <c r="F450" s="2" t="inlineStr">
        <is>
          <t>Monster</t>
        </is>
      </c>
      <c r="G450" s="2" t="inlineStr">
        <is>
          <t>Warrior / Effect</t>
        </is>
      </c>
      <c r="H450" s="2" t="inlineStr">
        <is>
          <t>Galactica</t>
        </is>
      </c>
      <c r="I450" s="2" t="inlineStr">
        <is>
          <t>2025-11-19</t>
        </is>
      </c>
      <c r="J450" s="2" t="inlineStr">
        <is>
          <t>/assets/cards/Galacticanes_Venatici.jpeg</t>
        </is>
      </c>
      <c r="K450" s="2" t="inlineStr">
        <is>
          <t>No</t>
        </is>
      </c>
      <c r="L450" s="2" t="inlineStr">
        <is>
          <t>No</t>
        </is>
      </c>
      <c r="M450" s="2" t="inlineStr">
        <is>
          <t>No</t>
        </is>
      </c>
      <c r="N450" s="2">
        <f>IF(AND($K450="Yes",$L450="Yes",$M450="Yes"),"Yes","No")</f>
        <v/>
      </c>
      <c r="O450" s="2" t="inlineStr"/>
    </row>
    <row r="451">
      <c r="A451" s="2" t="inlineStr">
        <is>
          <t>CARD-00440</t>
        </is>
      </c>
      <c r="B451" s="2" t="inlineStr">
        <is>
          <t>Galacticanes Auriga</t>
        </is>
      </c>
      <c r="C451" s="2" t="inlineStr">
        <is>
          <t>CHST</t>
        </is>
      </c>
      <c r="D451" s="2" t="inlineStr">
        <is>
          <t>082</t>
        </is>
      </c>
      <c r="E451" s="2" t="inlineStr">
        <is>
          <t>Chronicles of the Starborn</t>
        </is>
      </c>
      <c r="F451" s="2" t="inlineStr">
        <is>
          <t>Monster</t>
        </is>
      </c>
      <c r="G451" s="2" t="inlineStr">
        <is>
          <t>Cyborg / Normal</t>
        </is>
      </c>
      <c r="H451" s="2" t="inlineStr">
        <is>
          <t>Galactica</t>
        </is>
      </c>
      <c r="I451" s="2" t="inlineStr">
        <is>
          <t>2025-11-19</t>
        </is>
      </c>
      <c r="J451" s="2" t="inlineStr">
        <is>
          <t>/assets/cards/Galacticanes_Auriga.jpeg</t>
        </is>
      </c>
      <c r="K451" s="2" t="inlineStr">
        <is>
          <t>No</t>
        </is>
      </c>
      <c r="L451" s="2" t="inlineStr">
        <is>
          <t>No</t>
        </is>
      </c>
      <c r="M451" s="2" t="inlineStr">
        <is>
          <t>No</t>
        </is>
      </c>
      <c r="N451" s="2">
        <f>IF(AND($K451="Yes",$L451="Yes",$M451="Yes"),"Yes","No")</f>
        <v/>
      </c>
      <c r="O451" s="2" t="inlineStr"/>
    </row>
    <row r="452">
      <c r="A452" s="2" t="inlineStr">
        <is>
          <t>CARD-00441</t>
        </is>
      </c>
      <c r="B452" s="2" t="inlineStr">
        <is>
          <t>Galataxian Battle Tactics</t>
        </is>
      </c>
      <c r="C452" s="2" t="inlineStr">
        <is>
          <t>CHST</t>
        </is>
      </c>
      <c r="D452" s="2" t="inlineStr">
        <is>
          <t>083</t>
        </is>
      </c>
      <c r="E452" s="2" t="inlineStr">
        <is>
          <t>Chronicles of the Starborn</t>
        </is>
      </c>
      <c r="F452" s="2" t="inlineStr">
        <is>
          <t>Spell</t>
        </is>
      </c>
      <c r="G452" s="2" t="inlineStr">
        <is>
          <t>Spell / Quick-Play</t>
        </is>
      </c>
      <c r="H452" s="2" t="inlineStr">
        <is>
          <t>Galactica</t>
        </is>
      </c>
      <c r="I452" s="2" t="inlineStr">
        <is>
          <t>2025-11-19</t>
        </is>
      </c>
      <c r="J452" s="2" t="inlineStr">
        <is>
          <t>/assets/cards/Galataxian_Battle_Tactics.jpeg</t>
        </is>
      </c>
      <c r="K452" s="2" t="inlineStr">
        <is>
          <t>No</t>
        </is>
      </c>
      <c r="L452" s="2" t="inlineStr">
        <is>
          <t>No</t>
        </is>
      </c>
      <c r="M452" s="2" t="inlineStr">
        <is>
          <t>No</t>
        </is>
      </c>
      <c r="N452" s="2">
        <f>IF(AND($K452="Yes",$L452="Yes",$M452="Yes"),"Yes","No")</f>
        <v/>
      </c>
      <c r="O452" s="2" t="inlineStr"/>
    </row>
    <row r="453">
      <c r="A453" s="2" t="inlineStr">
        <is>
          <t>CARD-00442</t>
        </is>
      </c>
      <c r="B453" s="2" t="inlineStr">
        <is>
          <t>Galataxian Battle Formation</t>
        </is>
      </c>
      <c r="C453" s="2" t="inlineStr">
        <is>
          <t>CHST</t>
        </is>
      </c>
      <c r="D453" s="2" t="inlineStr">
        <is>
          <t>084</t>
        </is>
      </c>
      <c r="E453" s="2" t="inlineStr">
        <is>
          <t>Chronicles of the Starborn</t>
        </is>
      </c>
      <c r="F453" s="2" t="inlineStr">
        <is>
          <t>Spell</t>
        </is>
      </c>
      <c r="G453" s="2" t="inlineStr">
        <is>
          <t>Spell / Quick-Play</t>
        </is>
      </c>
      <c r="H453" s="2" t="inlineStr">
        <is>
          <t>Galactica</t>
        </is>
      </c>
      <c r="I453" s="2" t="inlineStr">
        <is>
          <t>2025-11-19</t>
        </is>
      </c>
      <c r="J453" s="2" t="inlineStr">
        <is>
          <t>/assets/cards/Galataxian_Battle_Formation.jpeg</t>
        </is>
      </c>
      <c r="K453" s="2" t="inlineStr">
        <is>
          <t>No</t>
        </is>
      </c>
      <c r="L453" s="2" t="inlineStr">
        <is>
          <t>No</t>
        </is>
      </c>
      <c r="M453" s="2" t="inlineStr">
        <is>
          <t>No</t>
        </is>
      </c>
      <c r="N453" s="2">
        <f>IF(AND($K453="Yes",$L453="Yes",$M453="Yes"),"Yes","No")</f>
        <v/>
      </c>
      <c r="O453" s="2" t="inlineStr"/>
    </row>
    <row r="454">
      <c r="A454" s="2" t="inlineStr">
        <is>
          <t>CARD-00443</t>
        </is>
      </c>
      <c r="B454" s="2" t="inlineStr">
        <is>
          <t>Galataxian Battle Preparation</t>
        </is>
      </c>
      <c r="C454" s="2" t="inlineStr">
        <is>
          <t>CHST</t>
        </is>
      </c>
      <c r="D454" s="2" t="inlineStr">
        <is>
          <t>085</t>
        </is>
      </c>
      <c r="E454" s="2" t="inlineStr">
        <is>
          <t>Chronicles of the Starborn</t>
        </is>
      </c>
      <c r="F454" s="2" t="inlineStr">
        <is>
          <t>Trap</t>
        </is>
      </c>
      <c r="G454" s="2" t="inlineStr">
        <is>
          <t>Trap / Normal</t>
        </is>
      </c>
      <c r="H454" s="2" t="inlineStr">
        <is>
          <t>Galactica</t>
        </is>
      </c>
      <c r="I454" s="2" t="inlineStr">
        <is>
          <t>2025-11-19</t>
        </is>
      </c>
      <c r="J454" s="2" t="inlineStr">
        <is>
          <t>/assets/cards/Galataxian_Battle_Preparation.jpeg</t>
        </is>
      </c>
      <c r="K454" s="2" t="inlineStr">
        <is>
          <t>No</t>
        </is>
      </c>
      <c r="L454" s="2" t="inlineStr">
        <is>
          <t>No</t>
        </is>
      </c>
      <c r="M454" s="2" t="inlineStr">
        <is>
          <t>No</t>
        </is>
      </c>
      <c r="N454" s="2">
        <f>IF(AND($K454="Yes",$L454="Yes",$M454="Yes"),"Yes","No")</f>
        <v/>
      </c>
      <c r="O454" s="2" t="inlineStr"/>
    </row>
    <row r="455">
      <c r="A455" s="2" t="inlineStr">
        <is>
          <t>CARD-00444</t>
        </is>
      </c>
      <c r="B455" s="2" t="inlineStr">
        <is>
          <t>Galactican Battle Station</t>
        </is>
      </c>
      <c r="C455" s="2" t="inlineStr">
        <is>
          <t>CHST</t>
        </is>
      </c>
      <c r="D455" s="2" t="inlineStr">
        <is>
          <t>086</t>
        </is>
      </c>
      <c r="E455" s="2" t="inlineStr">
        <is>
          <t>Chronicles of the Starborn</t>
        </is>
      </c>
      <c r="F455" s="2" t="inlineStr">
        <is>
          <t>Spell</t>
        </is>
      </c>
      <c r="G455" s="2" t="inlineStr">
        <is>
          <t>Spell / Field</t>
        </is>
      </c>
      <c r="H455" s="2" t="inlineStr">
        <is>
          <t>Galactica</t>
        </is>
      </c>
      <c r="I455" s="2" t="inlineStr">
        <is>
          <t>2025-11-19</t>
        </is>
      </c>
      <c r="J455" s="2" t="inlineStr">
        <is>
          <t>/assets/cards/Galactican_Battle_Station.jpeg</t>
        </is>
      </c>
      <c r="K455" s="2" t="inlineStr">
        <is>
          <t>No</t>
        </is>
      </c>
      <c r="L455" s="2" t="inlineStr">
        <is>
          <t>No</t>
        </is>
      </c>
      <c r="M455" s="2" t="inlineStr">
        <is>
          <t>No</t>
        </is>
      </c>
      <c r="N455" s="2">
        <f>IF(AND($K455="Yes",$L455="Yes",$M455="Yes"),"Yes","No")</f>
        <v/>
      </c>
      <c r="O455" s="2" t="inlineStr"/>
    </row>
    <row r="456">
      <c r="A456" s="2" t="inlineStr">
        <is>
          <t>CARD-00445</t>
        </is>
      </c>
      <c r="B456" s="2" t="inlineStr">
        <is>
          <t>Galactican Battle Grounds</t>
        </is>
      </c>
      <c r="C456" s="2" t="inlineStr">
        <is>
          <t>CHST</t>
        </is>
      </c>
      <c r="D456" s="2" t="inlineStr">
        <is>
          <t>087</t>
        </is>
      </c>
      <c r="E456" s="2" t="inlineStr">
        <is>
          <t>Chronicles of the Starborn</t>
        </is>
      </c>
      <c r="F456" s="2" t="inlineStr">
        <is>
          <t>Spell</t>
        </is>
      </c>
      <c r="G456" s="2" t="inlineStr">
        <is>
          <t>Spell / Continuous</t>
        </is>
      </c>
      <c r="H456" s="2" t="inlineStr">
        <is>
          <t>Galactica</t>
        </is>
      </c>
      <c r="I456" s="2" t="inlineStr">
        <is>
          <t>2025-11-19</t>
        </is>
      </c>
      <c r="J456" s="2" t="inlineStr">
        <is>
          <t>/assets/cards/Galactican_Battle_Grounds.jpeg</t>
        </is>
      </c>
      <c r="K456" s="2" t="inlineStr">
        <is>
          <t>No</t>
        </is>
      </c>
      <c r="L456" s="2" t="inlineStr">
        <is>
          <t>No</t>
        </is>
      </c>
      <c r="M456" s="2" t="inlineStr">
        <is>
          <t>No</t>
        </is>
      </c>
      <c r="N456" s="2">
        <f>IF(AND($K456="Yes",$L456="Yes",$M456="Yes"),"Yes","No")</f>
        <v/>
      </c>
      <c r="O456" s="2" t="inlineStr"/>
    </row>
    <row r="457">
      <c r="A457" s="2" t="inlineStr">
        <is>
          <t>CARD-00446</t>
        </is>
      </c>
      <c r="B457" s="2" t="inlineStr">
        <is>
          <t>Fusion Intergalactica</t>
        </is>
      </c>
      <c r="C457" s="2" t="inlineStr">
        <is>
          <t>CHST</t>
        </is>
      </c>
      <c r="D457" s="2" t="inlineStr">
        <is>
          <t>088</t>
        </is>
      </c>
      <c r="E457" s="2" t="inlineStr">
        <is>
          <t>Chronicles of the Starborn</t>
        </is>
      </c>
      <c r="F457" s="2" t="inlineStr">
        <is>
          <t>Spell</t>
        </is>
      </c>
      <c r="G457" s="2" t="inlineStr">
        <is>
          <t>Spell / Quick-Play</t>
        </is>
      </c>
      <c r="H457" s="2" t="inlineStr">
        <is>
          <t>Galactica</t>
        </is>
      </c>
      <c r="I457" s="2" t="inlineStr">
        <is>
          <t>2025-11-19</t>
        </is>
      </c>
      <c r="J457" s="2" t="inlineStr">
        <is>
          <t>/assets/cards/Fusion_Intergalactica.jpeg</t>
        </is>
      </c>
      <c r="K457" s="2" t="inlineStr">
        <is>
          <t>No</t>
        </is>
      </c>
      <c r="L457" s="2" t="inlineStr">
        <is>
          <t>No</t>
        </is>
      </c>
      <c r="M457" s="2" t="inlineStr">
        <is>
          <t>No</t>
        </is>
      </c>
      <c r="N457" s="2">
        <f>IF(AND($K457="Yes",$L457="Yes",$M457="Yes"),"Yes","No")</f>
        <v/>
      </c>
      <c r="O457" s="2" t="inlineStr"/>
    </row>
    <row r="458">
      <c r="A458" s="2" t="inlineStr">
        <is>
          <t>CARD-00447</t>
        </is>
      </c>
      <c r="B458" s="2" t="inlineStr">
        <is>
          <t>Attack on Gravity</t>
        </is>
      </c>
      <c r="C458" s="2" t="inlineStr">
        <is>
          <t>CHST</t>
        </is>
      </c>
      <c r="D458" s="2" t="inlineStr">
        <is>
          <t>089</t>
        </is>
      </c>
      <c r="E458" s="2" t="inlineStr">
        <is>
          <t>Chronicles of the Starborn</t>
        </is>
      </c>
      <c r="F458" s="2" t="inlineStr">
        <is>
          <t>Trap</t>
        </is>
      </c>
      <c r="G458" s="2" t="inlineStr">
        <is>
          <t>Trap / Counter</t>
        </is>
      </c>
      <c r="H458" s="2" t="inlineStr">
        <is>
          <t>Galactica</t>
        </is>
      </c>
      <c r="I458" s="2" t="inlineStr">
        <is>
          <t>2025-11-19</t>
        </is>
      </c>
      <c r="J458" s="2" t="inlineStr">
        <is>
          <t>/assets/cards/Attack_on_Gravity.jpeg</t>
        </is>
      </c>
      <c r="K458" s="2" t="inlineStr">
        <is>
          <t>No</t>
        </is>
      </c>
      <c r="L458" s="2" t="inlineStr">
        <is>
          <t>No</t>
        </is>
      </c>
      <c r="M458" s="2" t="inlineStr">
        <is>
          <t>No</t>
        </is>
      </c>
      <c r="N458" s="2">
        <f>IF(AND($K458="Yes",$L458="Yes",$M458="Yes"),"Yes","No")</f>
        <v/>
      </c>
      <c r="O458" s="2" t="inlineStr"/>
    </row>
    <row r="459">
      <c r="A459" s="2" t="inlineStr">
        <is>
          <t>CARD-00448</t>
        </is>
      </c>
      <c r="B459" s="2" t="inlineStr">
        <is>
          <t>Galactican Jet Dasher</t>
        </is>
      </c>
      <c r="C459" s="2" t="inlineStr">
        <is>
          <t>CHST</t>
        </is>
      </c>
      <c r="D459" s="2" t="inlineStr">
        <is>
          <t>090</t>
        </is>
      </c>
      <c r="E459" s="2" t="inlineStr">
        <is>
          <t>Chronicles of the Starborn</t>
        </is>
      </c>
      <c r="F459" s="2" t="inlineStr">
        <is>
          <t>Monster</t>
        </is>
      </c>
      <c r="G459" s="2" t="inlineStr">
        <is>
          <t>Machine / Effect / Link</t>
        </is>
      </c>
      <c r="H459" s="2" t="inlineStr">
        <is>
          <t>Galactica</t>
        </is>
      </c>
      <c r="I459" s="2" t="inlineStr">
        <is>
          <t>2025-11-19</t>
        </is>
      </c>
      <c r="J459" s="2" t="inlineStr">
        <is>
          <t>/assets/cards/Galactican_Jet_Dasher.jpeg</t>
        </is>
      </c>
      <c r="K459" s="2" t="inlineStr">
        <is>
          <t>No</t>
        </is>
      </c>
      <c r="L459" s="2" t="inlineStr">
        <is>
          <t>No</t>
        </is>
      </c>
      <c r="M459" s="2" t="inlineStr">
        <is>
          <t>No</t>
        </is>
      </c>
      <c r="N459" s="2">
        <f>IF(AND($K459="Yes",$L459="Yes",$M459="Yes"),"Yes","No")</f>
        <v/>
      </c>
      <c r="O459" s="2" t="inlineStr"/>
    </row>
    <row r="460">
      <c r="A460" s="2" t="inlineStr">
        <is>
          <t>CARD-00449</t>
        </is>
      </c>
      <c r="B460" s="2" t="inlineStr">
        <is>
          <t>Galactican Jet Drifter</t>
        </is>
      </c>
      <c r="C460" s="2" t="inlineStr">
        <is>
          <t>CHST</t>
        </is>
      </c>
      <c r="D460" s="2" t="inlineStr">
        <is>
          <t>091</t>
        </is>
      </c>
      <c r="E460" s="2" t="inlineStr">
        <is>
          <t>Chronicles of the Starborn</t>
        </is>
      </c>
      <c r="F460" s="2" t="inlineStr">
        <is>
          <t>Monster</t>
        </is>
      </c>
      <c r="G460" s="2" t="inlineStr">
        <is>
          <t>Machine / Effect / Link</t>
        </is>
      </c>
      <c r="H460" s="2" t="inlineStr">
        <is>
          <t>Galactica</t>
        </is>
      </c>
      <c r="I460" s="2" t="inlineStr">
        <is>
          <t>2025-11-19</t>
        </is>
      </c>
      <c r="J460" s="2" t="inlineStr">
        <is>
          <t>/assets/cards/Galactican_Jet_Drifter.jpeg</t>
        </is>
      </c>
      <c r="K460" s="2" t="inlineStr">
        <is>
          <t>No</t>
        </is>
      </c>
      <c r="L460" s="2" t="inlineStr">
        <is>
          <t>No</t>
        </is>
      </c>
      <c r="M460" s="2" t="inlineStr">
        <is>
          <t>No</t>
        </is>
      </c>
      <c r="N460" s="2">
        <f>IF(AND($K460="Yes",$L460="Yes",$M460="Yes"),"Yes","No")</f>
        <v/>
      </c>
      <c r="O460" s="2" t="inlineStr"/>
    </row>
    <row r="461">
      <c r="A461" s="2" t="inlineStr">
        <is>
          <t>CARD-00450</t>
        </is>
      </c>
      <c r="B461" s="2" t="inlineStr">
        <is>
          <t>Carina, Forgotten of Eldora</t>
        </is>
      </c>
      <c r="C461" s="2" t="inlineStr">
        <is>
          <t>CHST</t>
        </is>
      </c>
      <c r="D461" s="2" t="inlineStr">
        <is>
          <t>092</t>
        </is>
      </c>
      <c r="E461" s="2" t="inlineStr">
        <is>
          <t>Chronicles of the Starborn</t>
        </is>
      </c>
      <c r="F461" s="2" t="inlineStr">
        <is>
          <t>Monster</t>
        </is>
      </c>
      <c r="G461" s="2" t="inlineStr">
        <is>
          <t>Warrior / Effect</t>
        </is>
      </c>
      <c r="H461" s="2" t="inlineStr">
        <is>
          <t>Eldora</t>
        </is>
      </c>
      <c r="I461" s="2" t="inlineStr">
        <is>
          <t>2025-11-19</t>
        </is>
      </c>
      <c r="J461" s="2" t="inlineStr">
        <is>
          <t>/assets/cards/Carina_Forgotten_of_Eldora_2.jpeg</t>
        </is>
      </c>
      <c r="K461" s="2" t="inlineStr">
        <is>
          <t>No</t>
        </is>
      </c>
      <c r="L461" s="2" t="inlineStr">
        <is>
          <t>No</t>
        </is>
      </c>
      <c r="M461" s="2" t="inlineStr">
        <is>
          <t>No</t>
        </is>
      </c>
      <c r="N461" s="2">
        <f>IF(AND($K461="Yes",$L461="Yes",$M461="Yes"),"Yes","No")</f>
        <v/>
      </c>
      <c r="O461" s="2" t="inlineStr"/>
    </row>
    <row r="462">
      <c r="A462" s="2" t="inlineStr">
        <is>
          <t>CARD-00451</t>
        </is>
      </c>
      <c r="B462" s="2" t="inlineStr">
        <is>
          <t>Cassiopeia, Forgotten of Eldora</t>
        </is>
      </c>
      <c r="C462" s="2" t="inlineStr">
        <is>
          <t>CHST</t>
        </is>
      </c>
      <c r="D462" s="2" t="inlineStr">
        <is>
          <t>093</t>
        </is>
      </c>
      <c r="E462" s="2" t="inlineStr">
        <is>
          <t>Chronicles of the Starborn</t>
        </is>
      </c>
      <c r="F462" s="2" t="inlineStr">
        <is>
          <t>Monster</t>
        </is>
      </c>
      <c r="G462" s="2" t="inlineStr">
        <is>
          <t>Warrior / Effect</t>
        </is>
      </c>
      <c r="H462" s="2" t="inlineStr">
        <is>
          <t>Eldora</t>
        </is>
      </c>
      <c r="I462" s="2" t="inlineStr">
        <is>
          <t>2025-11-19</t>
        </is>
      </c>
      <c r="J462" s="2" t="inlineStr">
        <is>
          <t>/assets/cards/Cassiopeia_Forgotten_of_Eldora_1.jpeg</t>
        </is>
      </c>
      <c r="K462" s="2" t="inlineStr">
        <is>
          <t>No</t>
        </is>
      </c>
      <c r="L462" s="2" t="inlineStr">
        <is>
          <t>No</t>
        </is>
      </c>
      <c r="M462" s="2" t="inlineStr">
        <is>
          <t>No</t>
        </is>
      </c>
      <c r="N462" s="2">
        <f>IF(AND($K462="Yes",$L462="Yes",$M462="Yes"),"Yes","No")</f>
        <v/>
      </c>
      <c r="O462" s="2" t="inlineStr"/>
    </row>
    <row r="463">
      <c r="A463" s="2" t="inlineStr">
        <is>
          <t>CARD-00452</t>
        </is>
      </c>
      <c r="B463" s="2" t="inlineStr">
        <is>
          <t>Aeloria in Depraevity</t>
        </is>
      </c>
      <c r="C463" s="2" t="inlineStr">
        <is>
          <t>CHST</t>
        </is>
      </c>
      <c r="D463" s="2" t="inlineStr">
        <is>
          <t>094</t>
        </is>
      </c>
      <c r="E463" s="2" t="inlineStr">
        <is>
          <t>Chronicles of the Starborn</t>
        </is>
      </c>
      <c r="F463" s="2" t="inlineStr">
        <is>
          <t>Trap</t>
        </is>
      </c>
      <c r="G463" s="2" t="inlineStr">
        <is>
          <t>Trap / Continuous</t>
        </is>
      </c>
      <c r="H463" s="2" t="inlineStr">
        <is>
          <t>Eldora</t>
        </is>
      </c>
      <c r="I463" s="2" t="inlineStr">
        <is>
          <t>2025-11-19</t>
        </is>
      </c>
      <c r="J463" s="2" t="inlineStr">
        <is>
          <t>/assets/cards/Aeloria_in_Depraevity_1.jpeg</t>
        </is>
      </c>
      <c r="K463" s="2" t="inlineStr">
        <is>
          <t>No</t>
        </is>
      </c>
      <c r="L463" s="2" t="inlineStr">
        <is>
          <t>No</t>
        </is>
      </c>
      <c r="M463" s="2" t="inlineStr">
        <is>
          <t>No</t>
        </is>
      </c>
      <c r="N463" s="2">
        <f>IF(AND($K463="Yes",$L463="Yes",$M463="Yes"),"Yes","No")</f>
        <v/>
      </c>
      <c r="O463" s="2" t="inlineStr"/>
    </row>
    <row r="464">
      <c r="A464" s="2" t="inlineStr">
        <is>
          <t>CARD-00453</t>
        </is>
      </c>
      <c r="B464" s="2" t="inlineStr">
        <is>
          <t>Galactican Machine - No. G2-X38</t>
        </is>
      </c>
      <c r="C464" s="2" t="inlineStr">
        <is>
          <t>CHST</t>
        </is>
      </c>
      <c r="D464" s="2" t="inlineStr">
        <is>
          <t>095</t>
        </is>
      </c>
      <c r="E464" s="2" t="inlineStr">
        <is>
          <t>Chronicles of the Starborn</t>
        </is>
      </c>
      <c r="F464" s="2" t="inlineStr">
        <is>
          <t>Monster</t>
        </is>
      </c>
      <c r="G464" s="2" t="inlineStr">
        <is>
          <t>Machine / Link / Effect</t>
        </is>
      </c>
      <c r="H464" s="2" t="inlineStr">
        <is>
          <t>Galactica</t>
        </is>
      </c>
      <c r="I464" s="2" t="inlineStr">
        <is>
          <t>2025-11-19</t>
        </is>
      </c>
      <c r="J464" s="2" t="inlineStr">
        <is>
          <t>/assets/cards/Galactican_Machine_-_No._G2-X38.jpeg</t>
        </is>
      </c>
      <c r="K464" s="2" t="inlineStr">
        <is>
          <t>No</t>
        </is>
      </c>
      <c r="L464" s="2" t="inlineStr">
        <is>
          <t>No</t>
        </is>
      </c>
      <c r="M464" s="2" t="inlineStr">
        <is>
          <t>No</t>
        </is>
      </c>
      <c r="N464" s="2">
        <f>IF(AND($K464="Yes",$L464="Yes",$M464="Yes"),"Yes","No")</f>
        <v/>
      </c>
      <c r="O464" s="2" t="inlineStr"/>
    </row>
    <row r="465">
      <c r="A465" s="2" t="inlineStr">
        <is>
          <t>CARD-00454</t>
        </is>
      </c>
      <c r="B465" s="2" t="inlineStr">
        <is>
          <t>Intergalactican Machine - No. R2-D30</t>
        </is>
      </c>
      <c r="C465" s="2" t="inlineStr">
        <is>
          <t>CHST</t>
        </is>
      </c>
      <c r="D465" s="2" t="inlineStr">
        <is>
          <t>096</t>
        </is>
      </c>
      <c r="E465" s="2" t="inlineStr">
        <is>
          <t>Chronicles of the Starborn</t>
        </is>
      </c>
      <c r="F465" s="2" t="inlineStr">
        <is>
          <t>Monster</t>
        </is>
      </c>
      <c r="G465" s="2" t="inlineStr">
        <is>
          <t>Machine / Link / Effect</t>
        </is>
      </c>
      <c r="H465" s="2" t="inlineStr">
        <is>
          <t>Galactica</t>
        </is>
      </c>
      <c r="I465" s="2" t="inlineStr">
        <is>
          <t>2025-11-19</t>
        </is>
      </c>
      <c r="J465" s="2" t="inlineStr">
        <is>
          <t>/assets/cards/Intergalactican_Machine_-_No._R2-D30.jpeg</t>
        </is>
      </c>
      <c r="K465" s="2" t="inlineStr">
        <is>
          <t>No</t>
        </is>
      </c>
      <c r="L465" s="2" t="inlineStr">
        <is>
          <t>No</t>
        </is>
      </c>
      <c r="M465" s="2" t="inlineStr">
        <is>
          <t>No</t>
        </is>
      </c>
      <c r="N465" s="2">
        <f>IF(AND($K465="Yes",$L465="Yes",$M465="Yes"),"Yes","No")</f>
        <v/>
      </c>
      <c r="O465" s="2" t="inlineStr"/>
    </row>
    <row r="466">
      <c r="A466" s="2" t="inlineStr">
        <is>
          <t>CARD-00455</t>
        </is>
      </c>
      <c r="B466" s="2" t="inlineStr">
        <is>
          <t>Cassiopeia of the Eldoran System</t>
        </is>
      </c>
      <c r="C466" s="2" t="inlineStr">
        <is>
          <t>CHST</t>
        </is>
      </c>
      <c r="D466" s="2" t="inlineStr">
        <is>
          <t>097</t>
        </is>
      </c>
      <c r="E466" s="2" t="inlineStr">
        <is>
          <t>Chronicles of the Starborn</t>
        </is>
      </c>
      <c r="F466" s="2" t="inlineStr">
        <is>
          <t>Monster</t>
        </is>
      </c>
      <c r="G466" s="2" t="inlineStr">
        <is>
          <t>Warrior / Normal</t>
        </is>
      </c>
      <c r="H466" s="2" t="inlineStr">
        <is>
          <t>Galactica</t>
        </is>
      </c>
      <c r="I466" s="2" t="inlineStr">
        <is>
          <t>2025-11-19</t>
        </is>
      </c>
      <c r="J466" s="2" t="inlineStr">
        <is>
          <t>/assets/cards/Carina-of-the-eldoran-system.jpeg</t>
        </is>
      </c>
      <c r="K466" s="2" t="inlineStr">
        <is>
          <t>No</t>
        </is>
      </c>
      <c r="L466" s="2" t="inlineStr">
        <is>
          <t>No</t>
        </is>
      </c>
      <c r="M466" s="2" t="inlineStr">
        <is>
          <t>No</t>
        </is>
      </c>
      <c r="N466" s="2">
        <f>IF(AND($K466="Yes",$L466="Yes",$M466="Yes"),"Yes","No")</f>
        <v/>
      </c>
      <c r="O466" s="2" t="inlineStr"/>
    </row>
    <row r="467">
      <c r="A467" s="2" t="inlineStr">
        <is>
          <t>CARD-00456</t>
        </is>
      </c>
      <c r="B467" s="2" t="inlineStr">
        <is>
          <t>Intergalacticanes Majoris</t>
        </is>
      </c>
      <c r="C467" s="2" t="inlineStr">
        <is>
          <t>CHST</t>
        </is>
      </c>
      <c r="D467" s="2" t="inlineStr">
        <is>
          <t>098</t>
        </is>
      </c>
      <c r="E467" s="2" t="inlineStr">
        <is>
          <t>Chronicles of the Starborn</t>
        </is>
      </c>
      <c r="F467" s="2" t="inlineStr">
        <is>
          <t>Monster</t>
        </is>
      </c>
      <c r="G467" s="2" t="inlineStr">
        <is>
          <t>Cyborg / Fusion / Effect</t>
        </is>
      </c>
      <c r="H467" s="2" t="inlineStr">
        <is>
          <t>Galactica</t>
        </is>
      </c>
      <c r="I467" s="2" t="inlineStr">
        <is>
          <t>2025-11-19</t>
        </is>
      </c>
      <c r="J467" s="2" t="inlineStr">
        <is>
          <t>/assets/cards/Intergalacticanes_Majoris.jpeg</t>
        </is>
      </c>
      <c r="K467" s="2" t="inlineStr">
        <is>
          <t>No</t>
        </is>
      </c>
      <c r="L467" s="2" t="inlineStr">
        <is>
          <t>No</t>
        </is>
      </c>
      <c r="M467" s="2" t="inlineStr">
        <is>
          <t>No</t>
        </is>
      </c>
      <c r="N467" s="2">
        <f>IF(AND($K467="Yes",$L467="Yes",$M467="Yes"),"Yes","No")</f>
        <v/>
      </c>
      <c r="O467" s="2" t="inlineStr"/>
    </row>
    <row r="468">
      <c r="A468" s="2" t="inlineStr">
        <is>
          <t>CARD-00457</t>
        </is>
      </c>
      <c r="B468" s="2" t="inlineStr">
        <is>
          <t>To Protogenis Intergalataxiakos</t>
        </is>
      </c>
      <c r="C468" s="2" t="inlineStr">
        <is>
          <t>CHST</t>
        </is>
      </c>
      <c r="D468" s="2" t="inlineStr">
        <is>
          <t>099</t>
        </is>
      </c>
      <c r="E468" s="2" t="inlineStr">
        <is>
          <t>Chronicles of the Starborn</t>
        </is>
      </c>
      <c r="F468" s="2" t="inlineStr">
        <is>
          <t>Monster</t>
        </is>
      </c>
      <c r="G468" s="2" t="inlineStr">
        <is>
          <t>Celestial Warrior / Fusion / Effect</t>
        </is>
      </c>
      <c r="H468" s="2" t="inlineStr">
        <is>
          <t>Galactica</t>
        </is>
      </c>
      <c r="I468" s="2" t="inlineStr">
        <is>
          <t>2025-11-19</t>
        </is>
      </c>
      <c r="J468" s="2" t="inlineStr">
        <is>
          <t>/assets/cards/To_Protogenis_Intergalataxiakos.jpeg</t>
        </is>
      </c>
      <c r="K468" s="2" t="inlineStr">
        <is>
          <t>No</t>
        </is>
      </c>
      <c r="L468" s="2" t="inlineStr">
        <is>
          <t>No</t>
        </is>
      </c>
      <c r="M468" s="2" t="inlineStr">
        <is>
          <t>No</t>
        </is>
      </c>
      <c r="N468" s="2">
        <f>IF(AND($K468="Yes",$L468="Yes",$M468="Yes"),"Yes","No")</f>
        <v/>
      </c>
      <c r="O468" s="2" t="inlineStr"/>
    </row>
    <row r="469">
      <c r="A469" s="2" t="inlineStr">
        <is>
          <t>CARD-00458</t>
        </is>
      </c>
      <c r="B469" s="2" t="inlineStr">
        <is>
          <t>Pray for your Life!</t>
        </is>
      </c>
      <c r="C469" s="2" t="inlineStr">
        <is>
          <t>CHST</t>
        </is>
      </c>
      <c r="D469" s="2" t="inlineStr">
        <is>
          <t>100</t>
        </is>
      </c>
      <c r="E469" s="2" t="inlineStr">
        <is>
          <t>Chronicles of the Starborn</t>
        </is>
      </c>
      <c r="F469" s="2" t="inlineStr">
        <is>
          <t>Spell</t>
        </is>
      </c>
      <c r="G469" s="2" t="inlineStr">
        <is>
          <t>Spell / Quick-Play</t>
        </is>
      </c>
      <c r="H469" s="2" t="inlineStr"/>
      <c r="I469" s="2" t="inlineStr">
        <is>
          <t>2025-11-19</t>
        </is>
      </c>
      <c r="J469" s="2" t="inlineStr">
        <is>
          <t>/assets/cards/Pray_for_your_Life_1.jpeg</t>
        </is>
      </c>
      <c r="K469" s="2" t="inlineStr">
        <is>
          <t>No</t>
        </is>
      </c>
      <c r="L469" s="2" t="inlineStr">
        <is>
          <t>No</t>
        </is>
      </c>
      <c r="M469" s="2" t="inlineStr">
        <is>
          <t>No</t>
        </is>
      </c>
      <c r="N469" s="2">
        <f>IF(AND($K469="Yes",$L469="Yes",$M469="Yes"),"Yes","No")</f>
        <v/>
      </c>
      <c r="O469" s="2" t="inlineStr"/>
    </row>
    <row r="470">
      <c r="A470" s="2" t="inlineStr">
        <is>
          <t>CARD-00459</t>
        </is>
      </c>
      <c r="B470" s="2" t="inlineStr">
        <is>
          <t>Gladiator Beast Sabearius</t>
        </is>
      </c>
      <c r="C470" s="2" t="inlineStr">
        <is>
          <t>UPST</t>
        </is>
      </c>
      <c r="D470" s="2" t="inlineStr">
        <is>
          <t>001</t>
        </is>
      </c>
      <c r="E470" s="2" t="inlineStr">
        <is>
          <t>Upcoming Set</t>
        </is>
      </c>
      <c r="F470" s="2" t="inlineStr">
        <is>
          <t>Monster</t>
        </is>
      </c>
      <c r="G470" s="2" t="inlineStr">
        <is>
          <t>Beast / Effect</t>
        </is>
      </c>
      <c r="H470" s="2" t="inlineStr">
        <is>
          <t>Gladiator Beast</t>
        </is>
      </c>
      <c r="I470" s="2" t="inlineStr">
        <is>
          <t>2026-04-26</t>
        </is>
      </c>
      <c r="J470" s="2" t="inlineStr">
        <is>
          <t>/assets/cards/Gladiator_Beast_Sabearius.png</t>
        </is>
      </c>
      <c r="K470" s="2" t="inlineStr">
        <is>
          <t>No</t>
        </is>
      </c>
      <c r="L470" s="2" t="inlineStr">
        <is>
          <t>No</t>
        </is>
      </c>
      <c r="M470" s="2" t="inlineStr">
        <is>
          <t>No</t>
        </is>
      </c>
      <c r="N470" s="2">
        <f>IF(AND($K470="Yes",$L470="Yes",$M470="Yes"),"Yes","No")</f>
        <v/>
      </c>
      <c r="O470" s="2" t="inlineStr"/>
    </row>
    <row r="471">
      <c r="A471" s="2" t="inlineStr">
        <is>
          <t>CARD-00460</t>
        </is>
      </c>
      <c r="B471" s="2" t="inlineStr">
        <is>
          <t>Gladiator Beast Attrocitar</t>
        </is>
      </c>
      <c r="C471" s="2" t="inlineStr">
        <is>
          <t>UPST</t>
        </is>
      </c>
      <c r="D471" s="2" t="inlineStr">
        <is>
          <t>002</t>
        </is>
      </c>
      <c r="E471" s="2" t="inlineStr">
        <is>
          <t>Upcoming Set</t>
        </is>
      </c>
      <c r="F471" s="2" t="inlineStr">
        <is>
          <t>Monster</t>
        </is>
      </c>
      <c r="G471" s="2" t="inlineStr">
        <is>
          <t>Dinosaur / Effect</t>
        </is>
      </c>
      <c r="H471" s="2" t="inlineStr">
        <is>
          <t>Gladiator Beast</t>
        </is>
      </c>
      <c r="I471" s="2" t="inlineStr">
        <is>
          <t>2026-04-26</t>
        </is>
      </c>
      <c r="J471" s="2" t="inlineStr">
        <is>
          <t>/assets/cards/Gladiator_Beast_Attrocitar.png</t>
        </is>
      </c>
      <c r="K471" s="2" t="inlineStr">
        <is>
          <t>No</t>
        </is>
      </c>
      <c r="L471" s="2" t="inlineStr">
        <is>
          <t>No</t>
        </is>
      </c>
      <c r="M471" s="2" t="inlineStr">
        <is>
          <t>No</t>
        </is>
      </c>
      <c r="N471" s="2">
        <f>IF(AND($K471="Yes",$L471="Yes",$M471="Yes"),"Yes","No")</f>
        <v/>
      </c>
      <c r="O471" s="2" t="inlineStr"/>
    </row>
    <row r="472">
      <c r="A472" s="2" t="inlineStr">
        <is>
          <t>CARD-00461</t>
        </is>
      </c>
      <c r="B472" s="2" t="inlineStr">
        <is>
          <t>Gladiator Beast Satyrius</t>
        </is>
      </c>
      <c r="C472" s="2" t="inlineStr">
        <is>
          <t>UPST</t>
        </is>
      </c>
      <c r="D472" s="2" t="inlineStr">
        <is>
          <t>003</t>
        </is>
      </c>
      <c r="E472" s="2" t="inlineStr">
        <is>
          <t>Upcoming Set</t>
        </is>
      </c>
      <c r="F472" s="2" t="inlineStr">
        <is>
          <t>Monster</t>
        </is>
      </c>
      <c r="G472" s="2" t="inlineStr">
        <is>
          <t>Beast-Warrior / Fusion / Effect</t>
        </is>
      </c>
      <c r="H472" s="2" t="inlineStr">
        <is>
          <t>Gladiator Beast</t>
        </is>
      </c>
      <c r="I472" s="2" t="inlineStr">
        <is>
          <t>2026-04-26</t>
        </is>
      </c>
      <c r="J472" s="2" t="inlineStr">
        <is>
          <t>/assets/cards/Gladiator_Beast_Satyrius.png</t>
        </is>
      </c>
      <c r="K472" s="2" t="inlineStr">
        <is>
          <t>No</t>
        </is>
      </c>
      <c r="L472" s="2" t="inlineStr">
        <is>
          <t>No</t>
        </is>
      </c>
      <c r="M472" s="2" t="inlineStr">
        <is>
          <t>No</t>
        </is>
      </c>
      <c r="N472" s="2">
        <f>IF(AND($K472="Yes",$L472="Yes",$M472="Yes"),"Yes","No")</f>
        <v/>
      </c>
      <c r="O472" s="2" t="inlineStr"/>
    </row>
    <row r="473">
      <c r="A473" s="2" t="inlineStr">
        <is>
          <t>CARD-00462</t>
        </is>
      </c>
      <c r="B473" s="2" t="inlineStr">
        <is>
          <t>Night Night Nemleria</t>
        </is>
      </c>
      <c r="C473" s="2" t="inlineStr">
        <is>
          <t>UPST</t>
        </is>
      </c>
      <c r="D473" s="2" t="inlineStr">
        <is>
          <t>004</t>
        </is>
      </c>
      <c r="E473" s="2" t="inlineStr">
        <is>
          <t>Upcoming Set</t>
        </is>
      </c>
      <c r="F473" s="2" t="inlineStr">
        <is>
          <t>Spell</t>
        </is>
      </c>
      <c r="G473" s="2" t="inlineStr">
        <is>
          <t>Spell / Normal</t>
        </is>
      </c>
      <c r="H473" s="2" t="inlineStr">
        <is>
          <t>Nemleria</t>
        </is>
      </c>
      <c r="I473" s="2" t="inlineStr">
        <is>
          <t>2026-04-26</t>
        </is>
      </c>
      <c r="J473" s="2" t="inlineStr">
        <is>
          <t>/assets/cards/Night_Night_Nemleria.png</t>
        </is>
      </c>
      <c r="K473" s="2" t="inlineStr">
        <is>
          <t>No</t>
        </is>
      </c>
      <c r="L473" s="2" t="inlineStr">
        <is>
          <t>No</t>
        </is>
      </c>
      <c r="M473" s="2" t="inlineStr">
        <is>
          <t>No</t>
        </is>
      </c>
      <c r="N473" s="2">
        <f>IF(AND($K473="Yes",$L473="Yes",$M473="Yes"),"Yes","No")</f>
        <v/>
      </c>
      <c r="O473" s="2" t="inlineStr"/>
    </row>
    <row r="474">
      <c r="A474" s="2" t="inlineStr">
        <is>
          <t>CARD-00463</t>
        </is>
      </c>
      <c r="B474" s="2" t="inlineStr">
        <is>
          <t>Pyjama Party of Happy Nemleria</t>
        </is>
      </c>
      <c r="C474" s="2" t="inlineStr">
        <is>
          <t>UPST</t>
        </is>
      </c>
      <c r="D474" s="2" t="inlineStr">
        <is>
          <t>005</t>
        </is>
      </c>
      <c r="E474" s="2" t="inlineStr">
        <is>
          <t>Upcoming Set</t>
        </is>
      </c>
      <c r="F474" s="2" t="inlineStr">
        <is>
          <t>Spell</t>
        </is>
      </c>
      <c r="G474" s="2" t="inlineStr">
        <is>
          <t>Spell / Continuous</t>
        </is>
      </c>
      <c r="H474" s="2" t="inlineStr">
        <is>
          <t>Nemleria</t>
        </is>
      </c>
      <c r="I474" s="2" t="inlineStr">
        <is>
          <t>2026-04-26</t>
        </is>
      </c>
      <c r="J474" s="2" t="inlineStr">
        <is>
          <t>/assets/cards/Pyjama_Party_of_Happy_Nemleria_2.png</t>
        </is>
      </c>
      <c r="K474" s="2" t="inlineStr">
        <is>
          <t>No</t>
        </is>
      </c>
      <c r="L474" s="2" t="inlineStr">
        <is>
          <t>No</t>
        </is>
      </c>
      <c r="M474" s="2" t="inlineStr">
        <is>
          <t>No</t>
        </is>
      </c>
      <c r="N474" s="2">
        <f>IF(AND($K474="Yes",$L474="Yes",$M474="Yes"),"Yes","No")</f>
        <v/>
      </c>
      <c r="O474" s="2" t="inlineStr"/>
    </row>
    <row r="475">
      <c r="A475" s="2" t="inlineStr">
        <is>
          <t>CARD-00464</t>
        </is>
      </c>
      <c r="B475" s="2" t="inlineStr">
        <is>
          <t>Nemleria Big Eepy</t>
        </is>
      </c>
      <c r="C475" s="2" t="inlineStr">
        <is>
          <t>UPST</t>
        </is>
      </c>
      <c r="D475" s="2" t="inlineStr">
        <is>
          <t>006</t>
        </is>
      </c>
      <c r="E475" s="2" t="inlineStr">
        <is>
          <t>Upcoming Set</t>
        </is>
      </c>
      <c r="F475" s="2" t="inlineStr">
        <is>
          <t>Trap</t>
        </is>
      </c>
      <c r="G475" s="2" t="inlineStr">
        <is>
          <t>Trap / Normal</t>
        </is>
      </c>
      <c r="H475" s="2" t="inlineStr">
        <is>
          <t>Nemleria</t>
        </is>
      </c>
      <c r="I475" s="2" t="inlineStr">
        <is>
          <t>2026-04-26</t>
        </is>
      </c>
      <c r="J475" s="2" t="inlineStr">
        <is>
          <t>/assets/cards/Nemleria_Big_Eepy.png</t>
        </is>
      </c>
      <c r="K475" s="2" t="inlineStr">
        <is>
          <t>No</t>
        </is>
      </c>
      <c r="L475" s="2" t="inlineStr">
        <is>
          <t>No</t>
        </is>
      </c>
      <c r="M475" s="2" t="inlineStr">
        <is>
          <t>No</t>
        </is>
      </c>
      <c r="N475" s="2">
        <f>IF(AND($K475="Yes",$L475="Yes",$M475="Yes"),"Yes","No")</f>
        <v/>
      </c>
      <c r="O475" s="2" t="inlineStr"/>
    </row>
    <row r="476">
      <c r="A476" s="2" t="inlineStr">
        <is>
          <t>CARD-00465</t>
        </is>
      </c>
      <c r="B476" s="2" t="inlineStr">
        <is>
          <t>Nemleria's Nightmare</t>
        </is>
      </c>
      <c r="C476" s="2" t="inlineStr">
        <is>
          <t>UPST</t>
        </is>
      </c>
      <c r="D476" s="2" t="inlineStr">
        <is>
          <t>007</t>
        </is>
      </c>
      <c r="E476" s="2" t="inlineStr">
        <is>
          <t>Upcoming Set</t>
        </is>
      </c>
      <c r="F476" s="2" t="inlineStr">
        <is>
          <t>Trap</t>
        </is>
      </c>
      <c r="G476" s="2" t="inlineStr">
        <is>
          <t>Trap / Counter</t>
        </is>
      </c>
      <c r="H476" s="2" t="inlineStr">
        <is>
          <t>Nemleria</t>
        </is>
      </c>
      <c r="I476" s="2" t="inlineStr">
        <is>
          <t>2026-04-26</t>
        </is>
      </c>
      <c r="J476" s="2" t="inlineStr">
        <is>
          <t>/assets/cards/Nemlerias_Nightmare.png</t>
        </is>
      </c>
      <c r="K476" s="2" t="inlineStr">
        <is>
          <t>No</t>
        </is>
      </c>
      <c r="L476" s="2" t="inlineStr">
        <is>
          <t>No</t>
        </is>
      </c>
      <c r="M476" s="2" t="inlineStr">
        <is>
          <t>No</t>
        </is>
      </c>
      <c r="N476" s="2">
        <f>IF(AND($K476="Yes",$L476="Yes",$M476="Yes"),"Yes","No")</f>
        <v/>
      </c>
      <c r="O476" s="2" t="inlineStr"/>
    </row>
    <row r="477">
      <c r="A477" s="2" t="inlineStr">
        <is>
          <t>CARD-00466</t>
        </is>
      </c>
      <c r="B477" s="2" t="inlineStr">
        <is>
          <t>Nemleria's Dream Bedroom</t>
        </is>
      </c>
      <c r="C477" s="2" t="inlineStr">
        <is>
          <t>UPST</t>
        </is>
      </c>
      <c r="D477" s="2" t="inlineStr">
        <is>
          <t>008</t>
        </is>
      </c>
      <c r="E477" s="2" t="inlineStr">
        <is>
          <t>Upcoming Set</t>
        </is>
      </c>
      <c r="F477" s="2" t="inlineStr">
        <is>
          <t>Spell</t>
        </is>
      </c>
      <c r="G477" s="2" t="inlineStr">
        <is>
          <t>Spell / Continuous</t>
        </is>
      </c>
      <c r="H477" s="2" t="inlineStr">
        <is>
          <t>Nemleria</t>
        </is>
      </c>
      <c r="I477" s="2" t="inlineStr">
        <is>
          <t>2026-04-26</t>
        </is>
      </c>
      <c r="J477" s="2" t="inlineStr">
        <is>
          <t>/assets/cards/Nemlerias_Dream_Bedroom.png</t>
        </is>
      </c>
      <c r="K477" s="2" t="inlineStr">
        <is>
          <t>No</t>
        </is>
      </c>
      <c r="L477" s="2" t="inlineStr">
        <is>
          <t>No</t>
        </is>
      </c>
      <c r="M477" s="2" t="inlineStr">
        <is>
          <t>No</t>
        </is>
      </c>
      <c r="N477" s="2">
        <f>IF(AND($K477="Yes",$L477="Yes",$M477="Yes"),"Yes","No")</f>
        <v/>
      </c>
      <c r="O477" s="2" t="inlineStr"/>
    </row>
    <row r="478">
      <c r="A478" s="2" t="inlineStr">
        <is>
          <t>CARD-00467</t>
        </is>
      </c>
      <c r="B478" s="2" t="inlineStr">
        <is>
          <t>Nemleria Dream Creator Pyjama</t>
        </is>
      </c>
      <c r="C478" s="2" t="inlineStr">
        <is>
          <t>UPST</t>
        </is>
      </c>
      <c r="D478" s="2" t="inlineStr">
        <is>
          <t>009</t>
        </is>
      </c>
      <c r="E478" s="2" t="inlineStr">
        <is>
          <t>Upcoming Set</t>
        </is>
      </c>
      <c r="F478" s="2" t="inlineStr">
        <is>
          <t>Monster</t>
        </is>
      </c>
      <c r="G478" s="2" t="inlineStr">
        <is>
          <t>Beast / Effect</t>
        </is>
      </c>
      <c r="H478" s="2" t="inlineStr">
        <is>
          <t>Nemleria</t>
        </is>
      </c>
      <c r="I478" s="2" t="inlineStr">
        <is>
          <t>2026-04-26</t>
        </is>
      </c>
      <c r="J478" s="2" t="inlineStr">
        <is>
          <t>/assets/cards/Nemleria_Dream_Creator_Pyjama.png</t>
        </is>
      </c>
      <c r="K478" s="2" t="inlineStr">
        <is>
          <t>No</t>
        </is>
      </c>
      <c r="L478" s="2" t="inlineStr">
        <is>
          <t>No</t>
        </is>
      </c>
      <c r="M478" s="2" t="inlineStr">
        <is>
          <t>No</t>
        </is>
      </c>
      <c r="N478" s="2">
        <f>IF(AND($K478="Yes",$L478="Yes",$M478="Yes"),"Yes","No")</f>
        <v/>
      </c>
      <c r="O478" s="2" t="inlineStr"/>
    </row>
    <row r="479">
      <c r="A479" s="2" t="inlineStr">
        <is>
          <t>CARD-00468</t>
        </is>
      </c>
      <c r="B479" s="2" t="inlineStr">
        <is>
          <t>Nemleria Dream Devourer - Soleil</t>
        </is>
      </c>
      <c r="C479" s="2" t="inlineStr">
        <is>
          <t>UPST</t>
        </is>
      </c>
      <c r="D479" s="2" t="inlineStr">
        <is>
          <t>010</t>
        </is>
      </c>
      <c r="E479" s="2" t="inlineStr">
        <is>
          <t>Upcoming Set</t>
        </is>
      </c>
      <c r="F479" s="2" t="inlineStr">
        <is>
          <t>Monster</t>
        </is>
      </c>
      <c r="G479" s="2" t="inlineStr">
        <is>
          <t>Beast / Effect</t>
        </is>
      </c>
      <c r="H479" s="2" t="inlineStr">
        <is>
          <t>Nemleria</t>
        </is>
      </c>
      <c r="I479" s="2" t="inlineStr">
        <is>
          <t>2026-04-26</t>
        </is>
      </c>
      <c r="J479" s="2" t="inlineStr">
        <is>
          <t>/assets/cards/Nemleria_Dream_Devourer_-_Soleil.png</t>
        </is>
      </c>
      <c r="K479" s="2" t="inlineStr">
        <is>
          <t>No</t>
        </is>
      </c>
      <c r="L479" s="2" t="inlineStr">
        <is>
          <t>No</t>
        </is>
      </c>
      <c r="M479" s="2" t="inlineStr">
        <is>
          <t>No</t>
        </is>
      </c>
      <c r="N479" s="2">
        <f>IF(AND($K479="Yes",$L479="Yes",$M479="Yes"),"Yes","No")</f>
        <v/>
      </c>
      <c r="O479" s="2" t="inlineStr"/>
    </row>
    <row r="480">
      <c r="A480" s="2" t="inlineStr">
        <is>
          <t>CARD-00469</t>
        </is>
      </c>
      <c r="B480" s="2" t="inlineStr">
        <is>
          <t>Nemleria Dream Creator - Veilleuse</t>
        </is>
      </c>
      <c r="C480" s="2" t="inlineStr">
        <is>
          <t>UPST</t>
        </is>
      </c>
      <c r="D480" s="2" t="inlineStr">
        <is>
          <t>011</t>
        </is>
      </c>
      <c r="E480" s="2" t="inlineStr">
        <is>
          <t>Upcoming Set</t>
        </is>
      </c>
      <c r="F480" s="2" t="inlineStr">
        <is>
          <t>Monster</t>
        </is>
      </c>
      <c r="G480" s="2" t="inlineStr">
        <is>
          <t>Beast / Effect</t>
        </is>
      </c>
      <c r="H480" s="2" t="inlineStr">
        <is>
          <t>Nemleria</t>
        </is>
      </c>
      <c r="I480" s="2" t="inlineStr">
        <is>
          <t>2026-04-26</t>
        </is>
      </c>
      <c r="J480" s="2" t="inlineStr">
        <is>
          <t>/assets/cards/Nemleria_Dream_Creator_-_Veilleuse_1.png</t>
        </is>
      </c>
      <c r="K480" s="2" t="inlineStr">
        <is>
          <t>No</t>
        </is>
      </c>
      <c r="L480" s="2" t="inlineStr">
        <is>
          <t>No</t>
        </is>
      </c>
      <c r="M480" s="2" t="inlineStr">
        <is>
          <t>No</t>
        </is>
      </c>
      <c r="N480" s="2">
        <f>IF(AND($K480="Yes",$L480="Yes",$M480="Yes"),"Yes","No")</f>
        <v/>
      </c>
      <c r="O480" s="2" t="inlineStr"/>
    </row>
    <row r="481">
      <c r="A481" s="2" t="inlineStr">
        <is>
          <t>CARD-00470</t>
        </is>
      </c>
      <c r="B481" s="2" t="inlineStr">
        <is>
          <t>Grayling, the Grayscale Imp</t>
        </is>
      </c>
      <c r="C481" s="2" t="inlineStr">
        <is>
          <t>UPST</t>
        </is>
      </c>
      <c r="D481" s="2" t="inlineStr">
        <is>
          <t>012</t>
        </is>
      </c>
      <c r="E481" s="2" t="inlineStr">
        <is>
          <t>Upcoming Set</t>
        </is>
      </c>
      <c r="F481" s="2" t="inlineStr">
        <is>
          <t>Monster</t>
        </is>
      </c>
      <c r="G481" s="2" t="inlineStr">
        <is>
          <t>Fiend / Effect</t>
        </is>
      </c>
      <c r="H481" s="2" t="inlineStr">
        <is>
          <t>Grayscale</t>
        </is>
      </c>
      <c r="I481" s="2" t="inlineStr">
        <is>
          <t>2026-04-26</t>
        </is>
      </c>
      <c r="J481" s="2" t="inlineStr">
        <is>
          <t>/assets/cards/Grayling_the_Grayscale_Imp_1.png</t>
        </is>
      </c>
      <c r="K481" s="2" t="inlineStr">
        <is>
          <t>No</t>
        </is>
      </c>
      <c r="L481" s="2" t="inlineStr">
        <is>
          <t>No</t>
        </is>
      </c>
      <c r="M481" s="2" t="inlineStr">
        <is>
          <t>No</t>
        </is>
      </c>
      <c r="N481" s="2">
        <f>IF(AND($K481="Yes",$L481="Yes",$M481="Yes"),"Yes","No")</f>
        <v/>
      </c>
      <c r="O481" s="2" t="inlineStr"/>
    </row>
    <row r="482">
      <c r="A482" s="2" t="inlineStr">
        <is>
          <t>CARD-00471</t>
        </is>
      </c>
      <c r="B482" s="2" t="inlineStr">
        <is>
          <t>Graysentry, the Guard of Grayscale</t>
        </is>
      </c>
      <c r="C482" s="2" t="inlineStr">
        <is>
          <t>UPST</t>
        </is>
      </c>
      <c r="D482" s="2" t="inlineStr">
        <is>
          <t>013</t>
        </is>
      </c>
      <c r="E482" s="2" t="inlineStr">
        <is>
          <t>Upcoming Set</t>
        </is>
      </c>
      <c r="F482" s="2" t="inlineStr">
        <is>
          <t>Monster</t>
        </is>
      </c>
      <c r="G482" s="2" t="inlineStr">
        <is>
          <t>Fiend / Effect</t>
        </is>
      </c>
      <c r="H482" s="2" t="inlineStr">
        <is>
          <t>Grayscale</t>
        </is>
      </c>
      <c r="I482" s="2" t="inlineStr">
        <is>
          <t>2026-04-26</t>
        </is>
      </c>
      <c r="J482" s="2" t="inlineStr">
        <is>
          <t>/assets/cards/Graysentry_the_Guard_of_Grayscale.png</t>
        </is>
      </c>
      <c r="K482" s="2" t="inlineStr">
        <is>
          <t>No</t>
        </is>
      </c>
      <c r="L482" s="2" t="inlineStr">
        <is>
          <t>No</t>
        </is>
      </c>
      <c r="M482" s="2" t="inlineStr">
        <is>
          <t>No</t>
        </is>
      </c>
      <c r="N482" s="2">
        <f>IF(AND($K482="Yes",$L482="Yes",$M482="Yes"),"Yes","No")</f>
        <v/>
      </c>
      <c r="O482" s="2" t="inlineStr"/>
    </row>
    <row r="483">
      <c r="A483" s="2" t="inlineStr">
        <is>
          <t>CARD-00472</t>
        </is>
      </c>
      <c r="B483" s="2" t="inlineStr">
        <is>
          <t>Grayrover, the Wandering Grayscale</t>
        </is>
      </c>
      <c r="C483" s="2" t="inlineStr">
        <is>
          <t>UPST</t>
        </is>
      </c>
      <c r="D483" s="2" t="inlineStr">
        <is>
          <t>014</t>
        </is>
      </c>
      <c r="E483" s="2" t="inlineStr">
        <is>
          <t>Upcoming Set</t>
        </is>
      </c>
      <c r="F483" s="2" t="inlineStr">
        <is>
          <t>Monster</t>
        </is>
      </c>
      <c r="G483" s="2" t="inlineStr">
        <is>
          <t>Fiend / Effect</t>
        </is>
      </c>
      <c r="H483" s="2" t="inlineStr">
        <is>
          <t>Grayscale</t>
        </is>
      </c>
      <c r="I483" s="2" t="inlineStr">
        <is>
          <t>2026-04-26</t>
        </is>
      </c>
      <c r="J483" s="2" t="inlineStr">
        <is>
          <t>/assets/cards/Grayrover_the_Wandering_Grayscale.png</t>
        </is>
      </c>
      <c r="K483" s="2" t="inlineStr">
        <is>
          <t>No</t>
        </is>
      </c>
      <c r="L483" s="2" t="inlineStr">
        <is>
          <t>No</t>
        </is>
      </c>
      <c r="M483" s="2" t="inlineStr">
        <is>
          <t>No</t>
        </is>
      </c>
      <c r="N483" s="2">
        <f>IF(AND($K483="Yes",$L483="Yes",$M483="Yes"),"Yes","No")</f>
        <v/>
      </c>
      <c r="O483" s="2" t="inlineStr"/>
    </row>
    <row r="484">
      <c r="A484" s="2" t="inlineStr">
        <is>
          <t>CARD-00473</t>
        </is>
      </c>
      <c r="B484" s="2" t="inlineStr">
        <is>
          <t>Graylock, the Sorcerer of Grayscale</t>
        </is>
      </c>
      <c r="C484" s="2" t="inlineStr">
        <is>
          <t>UPST</t>
        </is>
      </c>
      <c r="D484" s="2" t="inlineStr">
        <is>
          <t>015</t>
        </is>
      </c>
      <c r="E484" s="2" t="inlineStr">
        <is>
          <t>Upcoming Set</t>
        </is>
      </c>
      <c r="F484" s="2" t="inlineStr">
        <is>
          <t>Monster</t>
        </is>
      </c>
      <c r="G484" s="2" t="inlineStr">
        <is>
          <t>Fiend / Effect</t>
        </is>
      </c>
      <c r="H484" s="2" t="inlineStr">
        <is>
          <t>Grayscale</t>
        </is>
      </c>
      <c r="I484" s="2" t="inlineStr">
        <is>
          <t>2026-04-26</t>
        </is>
      </c>
      <c r="J484" s="2" t="inlineStr">
        <is>
          <t>/assets/cards/Graylock_the_Sorcerer_of_Grayscale.png</t>
        </is>
      </c>
      <c r="K484" s="2" t="inlineStr">
        <is>
          <t>No</t>
        </is>
      </c>
      <c r="L484" s="2" t="inlineStr">
        <is>
          <t>No</t>
        </is>
      </c>
      <c r="M484" s="2" t="inlineStr">
        <is>
          <t>No</t>
        </is>
      </c>
      <c r="N484" s="2">
        <f>IF(AND($K484="Yes",$L484="Yes",$M484="Yes"),"Yes","No")</f>
        <v/>
      </c>
      <c r="O484" s="2" t="inlineStr"/>
    </row>
    <row r="485">
      <c r="A485" s="2" t="inlineStr">
        <is>
          <t>CARD-00474</t>
        </is>
      </c>
      <c r="B485" s="2" t="inlineStr">
        <is>
          <t>Grayhex, the Chanter of Grayscale</t>
        </is>
      </c>
      <c r="C485" s="2" t="inlineStr">
        <is>
          <t>UPST</t>
        </is>
      </c>
      <c r="D485" s="2" t="inlineStr">
        <is>
          <t>016</t>
        </is>
      </c>
      <c r="E485" s="2" t="inlineStr">
        <is>
          <t>Upcoming Set</t>
        </is>
      </c>
      <c r="F485" s="2" t="inlineStr">
        <is>
          <t>Monster</t>
        </is>
      </c>
      <c r="G485" s="2" t="inlineStr">
        <is>
          <t>Fiend / Effect</t>
        </is>
      </c>
      <c r="H485" s="2" t="inlineStr">
        <is>
          <t>Grayscale</t>
        </is>
      </c>
      <c r="I485" s="2" t="inlineStr">
        <is>
          <t>2026-04-26</t>
        </is>
      </c>
      <c r="J485" s="2" t="inlineStr">
        <is>
          <t>/assets/cards/Grayhex_the_Chanter_of_Grayscale.png</t>
        </is>
      </c>
      <c r="K485" s="2" t="inlineStr">
        <is>
          <t>No</t>
        </is>
      </c>
      <c r="L485" s="2" t="inlineStr">
        <is>
          <t>No</t>
        </is>
      </c>
      <c r="M485" s="2" t="inlineStr">
        <is>
          <t>No</t>
        </is>
      </c>
      <c r="N485" s="2">
        <f>IF(AND($K485="Yes",$L485="Yes",$M485="Yes"),"Yes","No")</f>
        <v/>
      </c>
      <c r="O485" s="2" t="inlineStr"/>
    </row>
    <row r="486">
      <c r="A486" s="2" t="inlineStr">
        <is>
          <t>CARD-00475</t>
        </is>
      </c>
      <c r="B486" s="2" t="inlineStr">
        <is>
          <t>Grayseer, the Grayscale Spy</t>
        </is>
      </c>
      <c r="C486" s="2" t="inlineStr">
        <is>
          <t>UPST</t>
        </is>
      </c>
      <c r="D486" s="2" t="inlineStr">
        <is>
          <t>017</t>
        </is>
      </c>
      <c r="E486" s="2" t="inlineStr">
        <is>
          <t>Upcoming Set</t>
        </is>
      </c>
      <c r="F486" s="2" t="inlineStr">
        <is>
          <t>Monster</t>
        </is>
      </c>
      <c r="G486" s="2" t="inlineStr">
        <is>
          <t>Fiend / Link / Effect</t>
        </is>
      </c>
      <c r="H486" s="2" t="inlineStr">
        <is>
          <t>Grayscale</t>
        </is>
      </c>
      <c r="I486" s="2" t="inlineStr">
        <is>
          <t>2026-04-26</t>
        </is>
      </c>
      <c r="J486" s="2" t="inlineStr">
        <is>
          <t>/assets/cards/Grayseer_the_Grayscale_Spy.png</t>
        </is>
      </c>
      <c r="K486" s="2" t="inlineStr">
        <is>
          <t>No</t>
        </is>
      </c>
      <c r="L486" s="2" t="inlineStr">
        <is>
          <t>No</t>
        </is>
      </c>
      <c r="M486" s="2" t="inlineStr">
        <is>
          <t>No</t>
        </is>
      </c>
      <c r="N486" s="2">
        <f>IF(AND($K486="Yes",$L486="Yes",$M486="Yes"),"Yes","No")</f>
        <v/>
      </c>
      <c r="O486" s="2" t="inlineStr"/>
    </row>
    <row r="487">
      <c r="A487" s="2" t="inlineStr">
        <is>
          <t>CARD-00476</t>
        </is>
      </c>
      <c r="B487" s="2" t="inlineStr">
        <is>
          <t>Grayterror, the Grayscale Beast</t>
        </is>
      </c>
      <c r="C487" s="2" t="inlineStr">
        <is>
          <t>UPST</t>
        </is>
      </c>
      <c r="D487" s="2" t="inlineStr">
        <is>
          <t>018</t>
        </is>
      </c>
      <c r="E487" s="2" t="inlineStr">
        <is>
          <t>Upcoming Set</t>
        </is>
      </c>
      <c r="F487" s="2" t="inlineStr">
        <is>
          <t>Monster</t>
        </is>
      </c>
      <c r="G487" s="2" t="inlineStr">
        <is>
          <t>Fiend / Link / Effect</t>
        </is>
      </c>
      <c r="H487" s="2" t="inlineStr">
        <is>
          <t>Grayscale</t>
        </is>
      </c>
      <c r="I487" s="2" t="inlineStr">
        <is>
          <t>2026-04-26</t>
        </is>
      </c>
      <c r="J487" s="2" t="inlineStr">
        <is>
          <t>/assets/cards/Grayterror_the_Grayscale_Beast.png</t>
        </is>
      </c>
      <c r="K487" s="2" t="inlineStr">
        <is>
          <t>No</t>
        </is>
      </c>
      <c r="L487" s="2" t="inlineStr">
        <is>
          <t>No</t>
        </is>
      </c>
      <c r="M487" s="2" t="inlineStr">
        <is>
          <t>No</t>
        </is>
      </c>
      <c r="N487" s="2">
        <f>IF(AND($K487="Yes",$L487="Yes",$M487="Yes"),"Yes","No")</f>
        <v/>
      </c>
      <c r="O487" s="2" t="inlineStr"/>
    </row>
    <row r="488">
      <c r="A488" s="2" t="inlineStr">
        <is>
          <t>CARD-00477</t>
        </is>
      </c>
      <c r="B488" s="2" t="inlineStr">
        <is>
          <t>Graydimm, the Grayscale Shadow</t>
        </is>
      </c>
      <c r="C488" s="2" t="inlineStr">
        <is>
          <t>UPST</t>
        </is>
      </c>
      <c r="D488" s="2" t="inlineStr">
        <is>
          <t>019</t>
        </is>
      </c>
      <c r="E488" s="2" t="inlineStr">
        <is>
          <t>Upcoming Set</t>
        </is>
      </c>
      <c r="F488" s="2" t="inlineStr">
        <is>
          <t>Monster</t>
        </is>
      </c>
      <c r="G488" s="2" t="inlineStr">
        <is>
          <t>Fiend / Xyz / Effect</t>
        </is>
      </c>
      <c r="H488" s="2" t="inlineStr">
        <is>
          <t>Grayscale</t>
        </is>
      </c>
      <c r="I488" s="2" t="inlineStr">
        <is>
          <t>2026-04-26</t>
        </is>
      </c>
      <c r="J488" s="2" t="inlineStr">
        <is>
          <t>/assets/cards/Graydimm_the_Grayscale_Shadow_1.png</t>
        </is>
      </c>
      <c r="K488" s="2" t="inlineStr">
        <is>
          <t>No</t>
        </is>
      </c>
      <c r="L488" s="2" t="inlineStr">
        <is>
          <t>No</t>
        </is>
      </c>
      <c r="M488" s="2" t="inlineStr">
        <is>
          <t>No</t>
        </is>
      </c>
      <c r="N488" s="2">
        <f>IF(AND($K488="Yes",$L488="Yes",$M488="Yes"),"Yes","No")</f>
        <v/>
      </c>
      <c r="O488" s="2" t="inlineStr"/>
    </row>
    <row r="489">
      <c r="A489" s="2" t="inlineStr">
        <is>
          <t>CARD-00478</t>
        </is>
      </c>
      <c r="B489" s="2" t="inlineStr">
        <is>
          <t>Grayshade, the Phantom of Grayscale</t>
        </is>
      </c>
      <c r="C489" s="2" t="inlineStr">
        <is>
          <t>UPST</t>
        </is>
      </c>
      <c r="D489" s="2" t="inlineStr">
        <is>
          <t>020</t>
        </is>
      </c>
      <c r="E489" s="2" t="inlineStr">
        <is>
          <t>Upcoming Set</t>
        </is>
      </c>
      <c r="F489" s="2" t="inlineStr">
        <is>
          <t>Monster</t>
        </is>
      </c>
      <c r="G489" s="2" t="inlineStr">
        <is>
          <t>Fiend / Xyz / Effect</t>
        </is>
      </c>
      <c r="H489" s="2" t="inlineStr">
        <is>
          <t>Grayscale</t>
        </is>
      </c>
      <c r="I489" s="2" t="inlineStr">
        <is>
          <t>2026-04-26</t>
        </is>
      </c>
      <c r="J489" s="2" t="inlineStr">
        <is>
          <t>/assets/cards/Grayshade_the_Phantom_of_Grayscale_1.png</t>
        </is>
      </c>
      <c r="K489" s="2" t="inlineStr">
        <is>
          <t>No</t>
        </is>
      </c>
      <c r="L489" s="2" t="inlineStr">
        <is>
          <t>No</t>
        </is>
      </c>
      <c r="M489" s="2" t="inlineStr">
        <is>
          <t>No</t>
        </is>
      </c>
      <c r="N489" s="2">
        <f>IF(AND($K489="Yes",$L489="Yes",$M489="Yes"),"Yes","No")</f>
        <v/>
      </c>
      <c r="O489" s="2" t="inlineStr"/>
    </row>
    <row r="490">
      <c r="A490" s="2" t="inlineStr">
        <is>
          <t>CARD-00479</t>
        </is>
      </c>
      <c r="B490" s="2" t="inlineStr">
        <is>
          <t>Graydeux, the Eternal Grayscale Entity</t>
        </is>
      </c>
      <c r="C490" s="2" t="inlineStr">
        <is>
          <t>UPST</t>
        </is>
      </c>
      <c r="D490" s="2" t="inlineStr">
        <is>
          <t>021</t>
        </is>
      </c>
      <c r="E490" s="2" t="inlineStr">
        <is>
          <t>Upcoming Set</t>
        </is>
      </c>
      <c r="F490" s="2" t="inlineStr">
        <is>
          <t>Monster</t>
        </is>
      </c>
      <c r="G490" s="2" t="inlineStr">
        <is>
          <t>Fiend / Xyz / Effect</t>
        </is>
      </c>
      <c r="H490" s="2" t="inlineStr">
        <is>
          <t>Grayscale</t>
        </is>
      </c>
      <c r="I490" s="2" t="inlineStr">
        <is>
          <t>2026-04-26</t>
        </is>
      </c>
      <c r="J490" s="2" t="inlineStr">
        <is>
          <t>/assets/cards/Graydeux_the_Eternal_Grayscale_Entity.png</t>
        </is>
      </c>
      <c r="K490" s="2" t="inlineStr">
        <is>
          <t>No</t>
        </is>
      </c>
      <c r="L490" s="2" t="inlineStr">
        <is>
          <t>No</t>
        </is>
      </c>
      <c r="M490" s="2" t="inlineStr">
        <is>
          <t>No</t>
        </is>
      </c>
      <c r="N490" s="2">
        <f>IF(AND($K490="Yes",$L490="Yes",$M490="Yes"),"Yes","No")</f>
        <v/>
      </c>
      <c r="O490" s="2" t="inlineStr"/>
    </row>
    <row r="491">
      <c r="A491" s="2" t="inlineStr">
        <is>
          <t>CARD-00480</t>
        </is>
      </c>
      <c r="B491" s="2" t="inlineStr">
        <is>
          <t>Grayscale Awakening: Revelation</t>
        </is>
      </c>
      <c r="C491" s="2" t="inlineStr">
        <is>
          <t>UPST</t>
        </is>
      </c>
      <c r="D491" s="2" t="inlineStr">
        <is>
          <t>022</t>
        </is>
      </c>
      <c r="E491" s="2" t="inlineStr">
        <is>
          <t>Upcoming Set</t>
        </is>
      </c>
      <c r="F491" s="2" t="inlineStr">
        <is>
          <t>Spell</t>
        </is>
      </c>
      <c r="G491" s="2" t="inlineStr">
        <is>
          <t>Spell / Quick-Play</t>
        </is>
      </c>
      <c r="H491" s="2" t="inlineStr">
        <is>
          <t>Grayscale</t>
        </is>
      </c>
      <c r="I491" s="2" t="inlineStr">
        <is>
          <t>2026-04-26</t>
        </is>
      </c>
      <c r="J491" s="2" t="inlineStr">
        <is>
          <t>/assets/cards/Grayscale_Awakening__Revelation.png</t>
        </is>
      </c>
      <c r="K491" s="2" t="inlineStr">
        <is>
          <t>No</t>
        </is>
      </c>
      <c r="L491" s="2" t="inlineStr">
        <is>
          <t>No</t>
        </is>
      </c>
      <c r="M491" s="2" t="inlineStr">
        <is>
          <t>No</t>
        </is>
      </c>
      <c r="N491" s="2">
        <f>IF(AND($K491="Yes",$L491="Yes",$M491="Yes"),"Yes","No")</f>
        <v/>
      </c>
      <c r="O491" s="2" t="inlineStr"/>
    </row>
    <row r="492">
      <c r="A492" s="2" t="inlineStr">
        <is>
          <t>CARD-00481</t>
        </is>
      </c>
      <c r="B492" s="2" t="inlineStr">
        <is>
          <t>Grayscale Awakening: Eclipse</t>
        </is>
      </c>
      <c r="C492" s="2" t="inlineStr">
        <is>
          <t>UPST</t>
        </is>
      </c>
      <c r="D492" s="2" t="inlineStr">
        <is>
          <t>023</t>
        </is>
      </c>
      <c r="E492" s="2" t="inlineStr">
        <is>
          <t>Upcoming Set</t>
        </is>
      </c>
      <c r="F492" s="2" t="inlineStr">
        <is>
          <t>Spell</t>
        </is>
      </c>
      <c r="G492" s="2" t="inlineStr">
        <is>
          <t>Spell / Continuous</t>
        </is>
      </c>
      <c r="H492" s="2" t="inlineStr">
        <is>
          <t>Grayscale</t>
        </is>
      </c>
      <c r="I492" s="2" t="inlineStr">
        <is>
          <t>2026-04-26</t>
        </is>
      </c>
      <c r="J492" s="2" t="inlineStr">
        <is>
          <t>/assets/cards/Grayscale_Awakening__Eclipse.png</t>
        </is>
      </c>
      <c r="K492" s="2" t="inlineStr">
        <is>
          <t>No</t>
        </is>
      </c>
      <c r="L492" s="2" t="inlineStr">
        <is>
          <t>No</t>
        </is>
      </c>
      <c r="M492" s="2" t="inlineStr">
        <is>
          <t>No</t>
        </is>
      </c>
      <c r="N492" s="2">
        <f>IF(AND($K492="Yes",$L492="Yes",$M492="Yes"),"Yes","No")</f>
        <v/>
      </c>
      <c r="O492" s="2" t="inlineStr"/>
    </row>
    <row r="493">
      <c r="A493" s="2" t="inlineStr">
        <is>
          <t>CARD-00482</t>
        </is>
      </c>
      <c r="B493" s="2" t="inlineStr">
        <is>
          <t>Grayscale Awakening: Nullbind</t>
        </is>
      </c>
      <c r="C493" s="2" t="inlineStr">
        <is>
          <t>UPST</t>
        </is>
      </c>
      <c r="D493" s="2" t="inlineStr">
        <is>
          <t>024</t>
        </is>
      </c>
      <c r="E493" s="2" t="inlineStr">
        <is>
          <t>Upcoming Set</t>
        </is>
      </c>
      <c r="F493" s="2" t="inlineStr">
        <is>
          <t>Trap</t>
        </is>
      </c>
      <c r="G493" s="2" t="inlineStr">
        <is>
          <t>Trap / Normal</t>
        </is>
      </c>
      <c r="H493" s="2" t="inlineStr">
        <is>
          <t>Grayscale</t>
        </is>
      </c>
      <c r="I493" s="2" t="inlineStr">
        <is>
          <t>2026-04-26</t>
        </is>
      </c>
      <c r="J493" s="2" t="inlineStr">
        <is>
          <t>/assets/cards/Grayscale_Awakening__Nullbind.png</t>
        </is>
      </c>
      <c r="K493" s="2" t="inlineStr">
        <is>
          <t>No</t>
        </is>
      </c>
      <c r="L493" s="2" t="inlineStr">
        <is>
          <t>No</t>
        </is>
      </c>
      <c r="M493" s="2" t="inlineStr">
        <is>
          <t>No</t>
        </is>
      </c>
      <c r="N493" s="2">
        <f>IF(AND($K493="Yes",$L493="Yes",$M493="Yes"),"Yes","No")</f>
        <v/>
      </c>
      <c r="O493" s="2" t="inlineStr"/>
    </row>
    <row r="494">
      <c r="A494" s="2" t="inlineStr">
        <is>
          <t>CARD-00483</t>
        </is>
      </c>
      <c r="B494" s="2" t="inlineStr">
        <is>
          <t>The Misstakes of the A.I.P Experience</t>
        </is>
      </c>
      <c r="C494" s="2" t="inlineStr">
        <is>
          <t>UPST</t>
        </is>
      </c>
      <c r="D494" s="2" t="inlineStr">
        <is>
          <t>025</t>
        </is>
      </c>
      <c r="E494" s="2" t="inlineStr">
        <is>
          <t>Upcoming Set</t>
        </is>
      </c>
      <c r="F494" s="2" t="inlineStr">
        <is>
          <t>Monster</t>
        </is>
      </c>
      <c r="G494" s="2" t="inlineStr">
        <is>
          <t>Beast / Normal</t>
        </is>
      </c>
      <c r="H494" s="2" t="inlineStr">
        <is>
          <t>A.I.P</t>
        </is>
      </c>
      <c r="I494" s="2" t="inlineStr">
        <is>
          <t>2026-04-26</t>
        </is>
      </c>
      <c r="J494" s="2" t="inlineStr">
        <is>
          <t>/assets/cards/The_Misstakes_of_the_A.I.P_Experience.png</t>
        </is>
      </c>
      <c r="K494" s="2" t="inlineStr">
        <is>
          <t>No</t>
        </is>
      </c>
      <c r="L494" s="2" t="inlineStr">
        <is>
          <t>No</t>
        </is>
      </c>
      <c r="M494" s="2" t="inlineStr">
        <is>
          <t>No</t>
        </is>
      </c>
      <c r="N494" s="2">
        <f>IF(AND($K494="Yes",$L494="Yes",$M494="Yes"),"Yes","No")</f>
        <v/>
      </c>
      <c r="O494" s="2" t="inlineStr"/>
    </row>
    <row r="495">
      <c r="A495" s="2" t="inlineStr">
        <is>
          <t>CARD-00484</t>
        </is>
      </c>
      <c r="B495" s="2" t="inlineStr">
        <is>
          <t>A.I.P Ex Larva</t>
        </is>
      </c>
      <c r="C495" s="2" t="inlineStr">
        <is>
          <t>UPST</t>
        </is>
      </c>
      <c r="D495" s="2" t="inlineStr">
        <is>
          <t>026</t>
        </is>
      </c>
      <c r="E495" s="2" t="inlineStr">
        <is>
          <t>Upcoming Set</t>
        </is>
      </c>
      <c r="F495" s="2" t="inlineStr">
        <is>
          <t>Monster</t>
        </is>
      </c>
      <c r="G495" s="2" t="inlineStr">
        <is>
          <t>Beast / Effect</t>
        </is>
      </c>
      <c r="H495" s="2" t="inlineStr">
        <is>
          <t>A.I.P</t>
        </is>
      </c>
      <c r="I495" s="2" t="inlineStr">
        <is>
          <t>2026-04-26</t>
        </is>
      </c>
      <c r="J495" s="2" t="inlineStr">
        <is>
          <t>/assets/cards/A.I.P_Ex_Larva.png</t>
        </is>
      </c>
      <c r="K495" s="2" t="inlineStr">
        <is>
          <t>No</t>
        </is>
      </c>
      <c r="L495" s="2" t="inlineStr">
        <is>
          <t>No</t>
        </is>
      </c>
      <c r="M495" s="2" t="inlineStr">
        <is>
          <t>No</t>
        </is>
      </c>
      <c r="N495" s="2">
        <f>IF(AND($K495="Yes",$L495="Yes",$M495="Yes"),"Yes","No")</f>
        <v/>
      </c>
      <c r="O495" s="2" t="inlineStr"/>
    </row>
    <row r="496">
      <c r="A496" s="2" t="inlineStr">
        <is>
          <t>CARD-00485</t>
        </is>
      </c>
      <c r="B496" s="2" t="inlineStr">
        <is>
          <t>A.I.P Ex Shrieker</t>
        </is>
      </c>
      <c r="C496" s="2" t="inlineStr">
        <is>
          <t>UPST</t>
        </is>
      </c>
      <c r="D496" s="2" t="inlineStr">
        <is>
          <t>027</t>
        </is>
      </c>
      <c r="E496" s="2" t="inlineStr">
        <is>
          <t>Upcoming Set</t>
        </is>
      </c>
      <c r="F496" s="2" t="inlineStr">
        <is>
          <t>Monster</t>
        </is>
      </c>
      <c r="G496" s="2" t="inlineStr">
        <is>
          <t>Beast / Effect</t>
        </is>
      </c>
      <c r="H496" s="2" t="inlineStr">
        <is>
          <t>A.I.P</t>
        </is>
      </c>
      <c r="I496" s="2" t="inlineStr">
        <is>
          <t>2026-04-26</t>
        </is>
      </c>
      <c r="J496" s="2" t="inlineStr">
        <is>
          <t>/assets/cards/A.I.P_Ex_Shrieker.png</t>
        </is>
      </c>
      <c r="K496" s="2" t="inlineStr">
        <is>
          <t>No</t>
        </is>
      </c>
      <c r="L496" s="2" t="inlineStr">
        <is>
          <t>No</t>
        </is>
      </c>
      <c r="M496" s="2" t="inlineStr">
        <is>
          <t>No</t>
        </is>
      </c>
      <c r="N496" s="2">
        <f>IF(AND($K496="Yes",$L496="Yes",$M496="Yes"),"Yes","No")</f>
        <v/>
      </c>
      <c r="O496" s="2" t="inlineStr"/>
    </row>
    <row r="497">
      <c r="A497" s="2" t="inlineStr">
        <is>
          <t>CARD-00486</t>
        </is>
      </c>
      <c r="B497" s="2" t="inlineStr">
        <is>
          <t>A.I.P Ex Claw</t>
        </is>
      </c>
      <c r="C497" s="2" t="inlineStr">
        <is>
          <t>UPST</t>
        </is>
      </c>
      <c r="D497" s="2" t="inlineStr">
        <is>
          <t>028</t>
        </is>
      </c>
      <c r="E497" s="2" t="inlineStr">
        <is>
          <t>Upcoming Set</t>
        </is>
      </c>
      <c r="F497" s="2" t="inlineStr">
        <is>
          <t>Monster</t>
        </is>
      </c>
      <c r="G497" s="2" t="inlineStr">
        <is>
          <t>Beast / Effect</t>
        </is>
      </c>
      <c r="H497" s="2" t="inlineStr">
        <is>
          <t>A.I.P</t>
        </is>
      </c>
      <c r="I497" s="2" t="inlineStr">
        <is>
          <t>2026-04-26</t>
        </is>
      </c>
      <c r="J497" s="2" t="inlineStr">
        <is>
          <t>/assets/cards/A.I.P_Ex_Claw.png</t>
        </is>
      </c>
      <c r="K497" s="2" t="inlineStr">
        <is>
          <t>No</t>
        </is>
      </c>
      <c r="L497" s="2" t="inlineStr">
        <is>
          <t>No</t>
        </is>
      </c>
      <c r="M497" s="2" t="inlineStr">
        <is>
          <t>No</t>
        </is>
      </c>
      <c r="N497" s="2">
        <f>IF(AND($K497="Yes",$L497="Yes",$M497="Yes"),"Yes","No")</f>
        <v/>
      </c>
      <c r="O497" s="2" t="inlineStr"/>
    </row>
    <row r="498">
      <c r="A498" s="2" t="inlineStr">
        <is>
          <t>CARD-00487</t>
        </is>
      </c>
      <c r="B498" s="2" t="inlineStr">
        <is>
          <t>A.I.P Ex Maw</t>
        </is>
      </c>
      <c r="C498" s="2" t="inlineStr">
        <is>
          <t>UPST</t>
        </is>
      </c>
      <c r="D498" s="2" t="inlineStr">
        <is>
          <t>029</t>
        </is>
      </c>
      <c r="E498" s="2" t="inlineStr">
        <is>
          <t>Upcoming Set</t>
        </is>
      </c>
      <c r="F498" s="2" t="inlineStr">
        <is>
          <t>Monster</t>
        </is>
      </c>
      <c r="G498" s="2" t="inlineStr">
        <is>
          <t>Beast / Effect</t>
        </is>
      </c>
      <c r="H498" s="2" t="inlineStr">
        <is>
          <t>A.I.P</t>
        </is>
      </c>
      <c r="I498" s="2" t="inlineStr">
        <is>
          <t>2026-04-26</t>
        </is>
      </c>
      <c r="J498" s="2" t="inlineStr">
        <is>
          <t>/assets/cards/A.I.P_Ex_Maw_1.png</t>
        </is>
      </c>
      <c r="K498" s="2" t="inlineStr">
        <is>
          <t>No</t>
        </is>
      </c>
      <c r="L498" s="2" t="inlineStr">
        <is>
          <t>No</t>
        </is>
      </c>
      <c r="M498" s="2" t="inlineStr">
        <is>
          <t>No</t>
        </is>
      </c>
      <c r="N498" s="2">
        <f>IF(AND($K498="Yes",$L498="Yes",$M498="Yes"),"Yes","No")</f>
        <v/>
      </c>
      <c r="O498" s="2" t="inlineStr"/>
    </row>
    <row r="499">
      <c r="A499" s="2" t="inlineStr">
        <is>
          <t>CARD-00488</t>
        </is>
      </c>
      <c r="B499" s="2" t="inlineStr">
        <is>
          <t>A.I.P Ex Predator</t>
        </is>
      </c>
      <c r="C499" s="2" t="inlineStr">
        <is>
          <t>UPST</t>
        </is>
      </c>
      <c r="D499" s="2" t="inlineStr">
        <is>
          <t>030</t>
        </is>
      </c>
      <c r="E499" s="2" t="inlineStr">
        <is>
          <t>Upcoming Set</t>
        </is>
      </c>
      <c r="F499" s="2" t="inlineStr">
        <is>
          <t>Monster</t>
        </is>
      </c>
      <c r="G499" s="2" t="inlineStr">
        <is>
          <t>Beast / Effect</t>
        </is>
      </c>
      <c r="H499" s="2" t="inlineStr">
        <is>
          <t>A.I.P</t>
        </is>
      </c>
      <c r="I499" s="2" t="inlineStr">
        <is>
          <t>2026-04-26</t>
        </is>
      </c>
      <c r="J499" s="2" t="inlineStr">
        <is>
          <t>/assets/cards/A.I.P_Ex_Predator.png</t>
        </is>
      </c>
      <c r="K499" s="2" t="inlineStr">
        <is>
          <t>No</t>
        </is>
      </c>
      <c r="L499" s="2" t="inlineStr">
        <is>
          <t>No</t>
        </is>
      </c>
      <c r="M499" s="2" t="inlineStr">
        <is>
          <t>No</t>
        </is>
      </c>
      <c r="N499" s="2">
        <f>IF(AND($K499="Yes",$L499="Yes",$M499="Yes"),"Yes","No")</f>
        <v/>
      </c>
      <c r="O499" s="2" t="inlineStr"/>
    </row>
    <row r="500">
      <c r="A500" s="2" t="inlineStr">
        <is>
          <t>CARD-00489</t>
        </is>
      </c>
      <c r="B500" s="2" t="inlineStr">
        <is>
          <t>A.I.P Lab</t>
        </is>
      </c>
      <c r="C500" s="2" t="inlineStr">
        <is>
          <t>UPST</t>
        </is>
      </c>
      <c r="D500" s="2" t="inlineStr">
        <is>
          <t>031</t>
        </is>
      </c>
      <c r="E500" s="2" t="inlineStr">
        <is>
          <t>Upcoming Set</t>
        </is>
      </c>
      <c r="F500" s="2" t="inlineStr">
        <is>
          <t>Spell</t>
        </is>
      </c>
      <c r="G500" s="2" t="inlineStr">
        <is>
          <t>Spell / Continuous</t>
        </is>
      </c>
      <c r="H500" s="2" t="inlineStr">
        <is>
          <t>A.I.P</t>
        </is>
      </c>
      <c r="I500" s="2" t="inlineStr">
        <is>
          <t>2026-04-26</t>
        </is>
      </c>
      <c r="J500" s="2" t="inlineStr">
        <is>
          <t>/assets/cards/A.I.P_Lab.png</t>
        </is>
      </c>
      <c r="K500" s="2" t="inlineStr">
        <is>
          <t>No</t>
        </is>
      </c>
      <c r="L500" s="2" t="inlineStr">
        <is>
          <t>No</t>
        </is>
      </c>
      <c r="M500" s="2" t="inlineStr">
        <is>
          <t>No</t>
        </is>
      </c>
      <c r="N500" s="2">
        <f>IF(AND($K500="Yes",$L500="Yes",$M500="Yes"),"Yes","No")</f>
        <v/>
      </c>
      <c r="O500" s="2" t="inlineStr"/>
    </row>
    <row r="501">
      <c r="A501" s="2" t="inlineStr">
        <is>
          <t>CARD-00490</t>
        </is>
      </c>
      <c r="B501" s="2" t="inlineStr">
        <is>
          <t>Failures of the A.I.P</t>
        </is>
      </c>
      <c r="C501" s="2" t="inlineStr">
        <is>
          <t>UPST</t>
        </is>
      </c>
      <c r="D501" s="2" t="inlineStr">
        <is>
          <t>032</t>
        </is>
      </c>
      <c r="E501" s="2" t="inlineStr">
        <is>
          <t>Upcoming Set</t>
        </is>
      </c>
      <c r="F501" s="2" t="inlineStr">
        <is>
          <t>Trap</t>
        </is>
      </c>
      <c r="G501" s="2" t="inlineStr">
        <is>
          <t>Trap / Normal</t>
        </is>
      </c>
      <c r="H501" s="2" t="inlineStr">
        <is>
          <t>A.I.P</t>
        </is>
      </c>
      <c r="I501" s="2" t="inlineStr">
        <is>
          <t>2026-04-26</t>
        </is>
      </c>
      <c r="J501" s="2" t="inlineStr">
        <is>
          <t>/assets/cards/Failures_of_the_A.I.P.png</t>
        </is>
      </c>
      <c r="K501" s="2" t="inlineStr">
        <is>
          <t>No</t>
        </is>
      </c>
      <c r="L501" s="2" t="inlineStr">
        <is>
          <t>No</t>
        </is>
      </c>
      <c r="M501" s="2" t="inlineStr">
        <is>
          <t>No</t>
        </is>
      </c>
      <c r="N501" s="2">
        <f>IF(AND($K501="Yes",$L501="Yes",$M501="Yes"),"Yes","No")</f>
        <v/>
      </c>
      <c r="O501" s="2" t="inlineStr"/>
    </row>
    <row r="502">
      <c r="A502" s="2" t="inlineStr">
        <is>
          <t>CARD-00491</t>
        </is>
      </c>
      <c r="B502" s="2" t="inlineStr">
        <is>
          <t>A.I.P Ex Assimilation</t>
        </is>
      </c>
      <c r="C502" s="2" t="inlineStr">
        <is>
          <t>UPST</t>
        </is>
      </c>
      <c r="D502" s="2" t="inlineStr">
        <is>
          <t>033</t>
        </is>
      </c>
      <c r="E502" s="2" t="inlineStr">
        <is>
          <t>Upcoming Set</t>
        </is>
      </c>
      <c r="F502" s="2" t="inlineStr">
        <is>
          <t>Trap</t>
        </is>
      </c>
      <c r="G502" s="2" t="inlineStr">
        <is>
          <t>Trap / Normal</t>
        </is>
      </c>
      <c r="H502" s="2" t="inlineStr">
        <is>
          <t>A.I.P</t>
        </is>
      </c>
      <c r="I502" s="2" t="inlineStr">
        <is>
          <t>2026-04-26</t>
        </is>
      </c>
      <c r="J502" s="2" t="inlineStr">
        <is>
          <t>/assets/cards/A.I.P_Ex_Assimilation.png</t>
        </is>
      </c>
      <c r="K502" s="2" t="inlineStr">
        <is>
          <t>No</t>
        </is>
      </c>
      <c r="L502" s="2" t="inlineStr">
        <is>
          <t>No</t>
        </is>
      </c>
      <c r="M502" s="2" t="inlineStr">
        <is>
          <t>No</t>
        </is>
      </c>
      <c r="N502" s="2">
        <f>IF(AND($K502="Yes",$L502="Yes",$M502="Yes"),"Yes","No")</f>
        <v/>
      </c>
      <c r="O502" s="2" t="inlineStr"/>
    </row>
    <row r="503">
      <c r="A503" s="2" t="inlineStr">
        <is>
          <t>CARD-00492</t>
        </is>
      </c>
      <c r="B503" s="2" t="inlineStr">
        <is>
          <t>A.I.P Ex Hive Mind</t>
        </is>
      </c>
      <c r="C503" s="2" t="inlineStr">
        <is>
          <t>UPST</t>
        </is>
      </c>
      <c r="D503" s="2" t="inlineStr">
        <is>
          <t>034</t>
        </is>
      </c>
      <c r="E503" s="2" t="inlineStr">
        <is>
          <t>Upcoming Set</t>
        </is>
      </c>
      <c r="F503" s="2" t="inlineStr">
        <is>
          <t>Trap</t>
        </is>
      </c>
      <c r="G503" s="2" t="inlineStr">
        <is>
          <t>Trap / Counter</t>
        </is>
      </c>
      <c r="H503" s="2" t="inlineStr">
        <is>
          <t>A.I.P</t>
        </is>
      </c>
      <c r="I503" s="2" t="inlineStr">
        <is>
          <t>2026-04-26</t>
        </is>
      </c>
      <c r="J503" s="2" t="inlineStr">
        <is>
          <t>/assets/cards/A.I.P_Ex_Hive_Mind_1.png</t>
        </is>
      </c>
      <c r="K503" s="2" t="inlineStr">
        <is>
          <t>No</t>
        </is>
      </c>
      <c r="L503" s="2" t="inlineStr">
        <is>
          <t>No</t>
        </is>
      </c>
      <c r="M503" s="2" t="inlineStr">
        <is>
          <t>No</t>
        </is>
      </c>
      <c r="N503" s="2">
        <f>IF(AND($K503="Yes",$L503="Yes",$M503="Yes"),"Yes","No")</f>
        <v/>
      </c>
      <c r="O503" s="2" t="inlineStr"/>
    </row>
    <row r="504">
      <c r="A504" s="2" t="inlineStr">
        <is>
          <t>CARD-00493</t>
        </is>
      </c>
      <c r="B504" s="2" t="inlineStr">
        <is>
          <t>Caller of the A.I.P Ex</t>
        </is>
      </c>
      <c r="C504" s="2" t="inlineStr">
        <is>
          <t>UPST</t>
        </is>
      </c>
      <c r="D504" s="2" t="inlineStr">
        <is>
          <t>035</t>
        </is>
      </c>
      <c r="E504" s="2" t="inlineStr">
        <is>
          <t>Upcoming Set</t>
        </is>
      </c>
      <c r="F504" s="2" t="inlineStr">
        <is>
          <t>Monster</t>
        </is>
      </c>
      <c r="G504" s="2" t="inlineStr">
        <is>
          <t>Beast / Xyz / Effect</t>
        </is>
      </c>
      <c r="H504" s="2" t="inlineStr">
        <is>
          <t>A.I.P</t>
        </is>
      </c>
      <c r="I504" s="2" t="inlineStr">
        <is>
          <t>2026-04-26</t>
        </is>
      </c>
      <c r="J504" s="2" t="inlineStr">
        <is>
          <t>/assets/cards/Caller_of_the_A.I.P_Ex.png</t>
        </is>
      </c>
      <c r="K504" s="2" t="inlineStr">
        <is>
          <t>No</t>
        </is>
      </c>
      <c r="L504" s="2" t="inlineStr">
        <is>
          <t>No</t>
        </is>
      </c>
      <c r="M504" s="2" t="inlineStr">
        <is>
          <t>No</t>
        </is>
      </c>
      <c r="N504" s="2">
        <f>IF(AND($K504="Yes",$L504="Yes",$M504="Yes"),"Yes","No")</f>
        <v/>
      </c>
      <c r="O504" s="2" t="inlineStr"/>
    </row>
    <row r="505">
      <c r="A505" s="2" t="inlineStr">
        <is>
          <t>CARD-00494</t>
        </is>
      </c>
      <c r="B505" s="2" t="inlineStr">
        <is>
          <t>Zero Mother of the A.I.P Ex</t>
        </is>
      </c>
      <c r="C505" s="2" t="inlineStr">
        <is>
          <t>UPST</t>
        </is>
      </c>
      <c r="D505" s="2" t="inlineStr">
        <is>
          <t>036</t>
        </is>
      </c>
      <c r="E505" s="2" t="inlineStr">
        <is>
          <t>Upcoming Set</t>
        </is>
      </c>
      <c r="F505" s="2" t="inlineStr">
        <is>
          <t>Monster</t>
        </is>
      </c>
      <c r="G505" s="2" t="inlineStr">
        <is>
          <t>Beast / Xyz / Effect</t>
        </is>
      </c>
      <c r="H505" s="2" t="inlineStr">
        <is>
          <t>A.I.P</t>
        </is>
      </c>
      <c r="I505" s="2" t="inlineStr">
        <is>
          <t>2026-04-26</t>
        </is>
      </c>
      <c r="J505" s="2" t="inlineStr">
        <is>
          <t>/assets/cards/Zero_Mother_of_the_A.I.P_Ex.png</t>
        </is>
      </c>
      <c r="K505" s="2" t="inlineStr">
        <is>
          <t>No</t>
        </is>
      </c>
      <c r="L505" s="2" t="inlineStr">
        <is>
          <t>No</t>
        </is>
      </c>
      <c r="M505" s="2" t="inlineStr">
        <is>
          <t>No</t>
        </is>
      </c>
      <c r="N505" s="2">
        <f>IF(AND($K505="Yes",$L505="Yes",$M505="Yes"),"Yes","No")</f>
        <v/>
      </c>
      <c r="O505" s="2" t="inlineStr"/>
    </row>
    <row r="506">
      <c r="A506" s="2" t="inlineStr">
        <is>
          <t>CARD-00495</t>
        </is>
      </c>
      <c r="B506" s="2" t="inlineStr">
        <is>
          <t>Red-Eyes Gearfried the Iron Knight</t>
        </is>
      </c>
      <c r="C506" s="2" t="inlineStr">
        <is>
          <t>UPST</t>
        </is>
      </c>
      <c r="D506" s="2" t="inlineStr">
        <is>
          <t>037</t>
        </is>
      </c>
      <c r="E506" s="2" t="inlineStr">
        <is>
          <t>Upcoming Set</t>
        </is>
      </c>
      <c r="F506" s="2" t="inlineStr">
        <is>
          <t>Monster</t>
        </is>
      </c>
      <c r="G506" s="2" t="inlineStr">
        <is>
          <t>Warrior / Effect</t>
        </is>
      </c>
      <c r="H506" s="2" t="inlineStr">
        <is>
          <t>Red-Eyes</t>
        </is>
      </c>
      <c r="I506" s="2" t="inlineStr">
        <is>
          <t>2026-04-26</t>
        </is>
      </c>
      <c r="J506" s="2" t="inlineStr">
        <is>
          <t>/assets/cards/Red-Eyes_Gearfried_the_Iron_Knight.png</t>
        </is>
      </c>
      <c r="K506" s="2" t="inlineStr">
        <is>
          <t>No</t>
        </is>
      </c>
      <c r="L506" s="2" t="inlineStr">
        <is>
          <t>No</t>
        </is>
      </c>
      <c r="M506" s="2" t="inlineStr">
        <is>
          <t>No</t>
        </is>
      </c>
      <c r="N506" s="2">
        <f>IF(AND($K506="Yes",$L506="Yes",$M506="Yes"),"Yes","No")</f>
        <v/>
      </c>
      <c r="O506" s="2" t="inlineStr"/>
    </row>
    <row r="507">
      <c r="A507" s="2" t="inlineStr">
        <is>
          <t>CARD-00496</t>
        </is>
      </c>
      <c r="B507" s="2" t="inlineStr">
        <is>
          <t>Red-Eyes Moon Dragon</t>
        </is>
      </c>
      <c r="C507" s="2" t="inlineStr">
        <is>
          <t>UPST</t>
        </is>
      </c>
      <c r="D507" s="2" t="inlineStr">
        <is>
          <t>038</t>
        </is>
      </c>
      <c r="E507" s="2" t="inlineStr">
        <is>
          <t>Upcoming Set</t>
        </is>
      </c>
      <c r="F507" s="2" t="inlineStr">
        <is>
          <t>Monster</t>
        </is>
      </c>
      <c r="G507" s="2" t="inlineStr">
        <is>
          <t>Dragon / Effect</t>
        </is>
      </c>
      <c r="H507" s="2" t="inlineStr">
        <is>
          <t>Red-Eyes</t>
        </is>
      </c>
      <c r="I507" s="2" t="inlineStr">
        <is>
          <t>2026-04-26</t>
        </is>
      </c>
      <c r="J507" s="2" t="inlineStr">
        <is>
          <t>/assets/cards/Red-Eyes_Moon_Dragon.png</t>
        </is>
      </c>
      <c r="K507" s="2" t="inlineStr">
        <is>
          <t>No</t>
        </is>
      </c>
      <c r="L507" s="2" t="inlineStr">
        <is>
          <t>No</t>
        </is>
      </c>
      <c r="M507" s="2" t="inlineStr">
        <is>
          <t>No</t>
        </is>
      </c>
      <c r="N507" s="2">
        <f>IF(AND($K507="Yes",$L507="Yes",$M507="Yes"),"Yes","No")</f>
        <v/>
      </c>
      <c r="O507" s="2" t="inlineStr"/>
    </row>
    <row r="508">
      <c r="A508" s="2" t="inlineStr">
        <is>
          <t>CARD-00497</t>
        </is>
      </c>
      <c r="B508" s="2" t="inlineStr">
        <is>
          <t>Red-Eyes Meteor Metal Dragon</t>
        </is>
      </c>
      <c r="C508" s="2" t="inlineStr">
        <is>
          <t>UPST</t>
        </is>
      </c>
      <c r="D508" s="2" t="inlineStr">
        <is>
          <t>039</t>
        </is>
      </c>
      <c r="E508" s="2" t="inlineStr">
        <is>
          <t>Upcoming Set</t>
        </is>
      </c>
      <c r="F508" s="2" t="inlineStr">
        <is>
          <t>Monster</t>
        </is>
      </c>
      <c r="G508" s="2" t="inlineStr">
        <is>
          <t>Dragon / Effect</t>
        </is>
      </c>
      <c r="H508" s="2" t="inlineStr">
        <is>
          <t>Red-Eyes</t>
        </is>
      </c>
      <c r="I508" s="2" t="inlineStr">
        <is>
          <t>2026-04-26</t>
        </is>
      </c>
      <c r="J508" s="2" t="inlineStr">
        <is>
          <t>/assets/cards/Red-Eyes_Meteor_Metal_Dragon.png</t>
        </is>
      </c>
      <c r="K508" s="2" t="inlineStr">
        <is>
          <t>No</t>
        </is>
      </c>
      <c r="L508" s="2" t="inlineStr">
        <is>
          <t>No</t>
        </is>
      </c>
      <c r="M508" s="2" t="inlineStr">
        <is>
          <t>No</t>
        </is>
      </c>
      <c r="N508" s="2">
        <f>IF(AND($K508="Yes",$L508="Yes",$M508="Yes"),"Yes","No")</f>
        <v/>
      </c>
      <c r="O508" s="2" t="inlineStr"/>
    </row>
    <row r="509">
      <c r="A509" s="2" t="inlineStr">
        <is>
          <t>CARD-00498</t>
        </is>
      </c>
      <c r="B509" s="2" t="inlineStr">
        <is>
          <t>Red-Eyes Roar</t>
        </is>
      </c>
      <c r="C509" s="2" t="inlineStr">
        <is>
          <t>UPST</t>
        </is>
      </c>
      <c r="D509" s="2" t="inlineStr">
        <is>
          <t>040</t>
        </is>
      </c>
      <c r="E509" s="2" t="inlineStr">
        <is>
          <t>Upcoming Set</t>
        </is>
      </c>
      <c r="F509" s="2" t="inlineStr">
        <is>
          <t>Spell</t>
        </is>
      </c>
      <c r="G509" s="2" t="inlineStr">
        <is>
          <t>Spell / Normal</t>
        </is>
      </c>
      <c r="H509" s="2" t="inlineStr">
        <is>
          <t>Red-Eyes</t>
        </is>
      </c>
      <c r="I509" s="2" t="inlineStr">
        <is>
          <t>2026-04-26</t>
        </is>
      </c>
      <c r="J509" s="2" t="inlineStr">
        <is>
          <t>/assets/cards/Red-Eyes_Roar.png</t>
        </is>
      </c>
      <c r="K509" s="2" t="inlineStr">
        <is>
          <t>No</t>
        </is>
      </c>
      <c r="L509" s="2" t="inlineStr">
        <is>
          <t>No</t>
        </is>
      </c>
      <c r="M509" s="2" t="inlineStr">
        <is>
          <t>No</t>
        </is>
      </c>
      <c r="N509" s="2">
        <f>IF(AND($K509="Yes",$L509="Yes",$M509="Yes"),"Yes","No")</f>
        <v/>
      </c>
      <c r="O509" s="2" t="inlineStr"/>
    </row>
    <row r="510">
      <c r="A510" s="2" t="inlineStr">
        <is>
          <t>CARD-00499</t>
        </is>
      </c>
      <c r="B510" s="2" t="inlineStr">
        <is>
          <t>Red-Eyes Turbo Dragon</t>
        </is>
      </c>
      <c r="C510" s="2" t="inlineStr">
        <is>
          <t>UPST</t>
        </is>
      </c>
      <c r="D510" s="2" t="inlineStr">
        <is>
          <t>041</t>
        </is>
      </c>
      <c r="E510" s="2" t="inlineStr">
        <is>
          <t>Upcoming Set</t>
        </is>
      </c>
      <c r="F510" s="2" t="inlineStr">
        <is>
          <t>Monster</t>
        </is>
      </c>
      <c r="G510" s="2" t="inlineStr">
        <is>
          <t>Dragon / Fusion / Effect</t>
        </is>
      </c>
      <c r="H510" s="2" t="inlineStr">
        <is>
          <t>Red-Eyes</t>
        </is>
      </c>
      <c r="I510" s="2" t="inlineStr">
        <is>
          <t>2026-04-26</t>
        </is>
      </c>
      <c r="J510" s="2" t="inlineStr">
        <is>
          <t>/assets/cards/Red-Eyes_Turbo_Dragon.png</t>
        </is>
      </c>
      <c r="K510" s="2" t="inlineStr">
        <is>
          <t>No</t>
        </is>
      </c>
      <c r="L510" s="2" t="inlineStr">
        <is>
          <t>No</t>
        </is>
      </c>
      <c r="M510" s="2" t="inlineStr">
        <is>
          <t>No</t>
        </is>
      </c>
      <c r="N510" s="2">
        <f>IF(AND($K510="Yes",$L510="Yes",$M510="Yes"),"Yes","No")</f>
        <v/>
      </c>
      <c r="O510" s="2" t="inlineStr"/>
    </row>
    <row r="511">
      <c r="A511" s="2" t="inlineStr">
        <is>
          <t>CARD-00500</t>
        </is>
      </c>
      <c r="B511" s="2" t="inlineStr">
        <is>
          <t>Red-Eyes Booster Dragon</t>
        </is>
      </c>
      <c r="C511" s="2" t="inlineStr">
        <is>
          <t>UPST</t>
        </is>
      </c>
      <c r="D511" s="2" t="inlineStr">
        <is>
          <t>042</t>
        </is>
      </c>
      <c r="E511" s="2" t="inlineStr">
        <is>
          <t>Upcoming Set</t>
        </is>
      </c>
      <c r="F511" s="2" t="inlineStr">
        <is>
          <t>Monster</t>
        </is>
      </c>
      <c r="G511" s="2" t="inlineStr">
        <is>
          <t>Dragon / Fusion / Effect</t>
        </is>
      </c>
      <c r="H511" s="2" t="inlineStr">
        <is>
          <t>Red-Eyes</t>
        </is>
      </c>
      <c r="I511" s="2" t="inlineStr">
        <is>
          <t>2026-04-26</t>
        </is>
      </c>
      <c r="J511" s="2" t="inlineStr">
        <is>
          <t>/assets/cards/Red-Eyes_Booster_Dragon.png</t>
        </is>
      </c>
      <c r="K511" s="2" t="inlineStr">
        <is>
          <t>No</t>
        </is>
      </c>
      <c r="L511" s="2" t="inlineStr">
        <is>
          <t>No</t>
        </is>
      </c>
      <c r="M511" s="2" t="inlineStr">
        <is>
          <t>No</t>
        </is>
      </c>
      <c r="N511" s="2">
        <f>IF(AND($K511="Yes",$L511="Yes",$M511="Yes"),"Yes","No")</f>
        <v/>
      </c>
      <c r="O511" s="2" t="inlineStr"/>
    </row>
    <row r="512">
      <c r="A512" s="2" t="inlineStr">
        <is>
          <t>CARD-00501</t>
        </is>
      </c>
      <c r="B512" s="2" t="inlineStr">
        <is>
          <t>Rush at the Gnome</t>
        </is>
      </c>
      <c r="C512" s="2" t="inlineStr">
        <is>
          <t>UPST</t>
        </is>
      </c>
      <c r="D512" s="2" t="inlineStr">
        <is>
          <t>043</t>
        </is>
      </c>
      <c r="E512" s="2" t="inlineStr">
        <is>
          <t>Upcoming Set</t>
        </is>
      </c>
      <c r="F512" s="2" t="inlineStr">
        <is>
          <t>Trap</t>
        </is>
      </c>
      <c r="G512" s="2" t="inlineStr">
        <is>
          <t>Trap / Normal</t>
        </is>
      </c>
      <c r="H512" s="2" t="inlineStr">
        <is>
          <t>Rush at the Gnome</t>
        </is>
      </c>
      <c r="I512" s="2" t="inlineStr">
        <is>
          <t>2026-04-26</t>
        </is>
      </c>
      <c r="J512" s="2" t="inlineStr">
        <is>
          <t>/assets/cards/Rush_at_the_Gnome.png</t>
        </is>
      </c>
      <c r="K512" s="2" t="inlineStr">
        <is>
          <t>No</t>
        </is>
      </c>
      <c r="L512" s="2" t="inlineStr">
        <is>
          <t>No</t>
        </is>
      </c>
      <c r="M512" s="2" t="inlineStr">
        <is>
          <t>No</t>
        </is>
      </c>
      <c r="N512" s="2">
        <f>IF(AND($K512="Yes",$L512="Yes",$M512="Yes"),"Yes","No")</f>
        <v/>
      </c>
      <c r="O512" s="2" t="inlineStr"/>
    </row>
    <row r="513">
      <c r="A513" s="2" t="inlineStr">
        <is>
          <t>CARD-00502</t>
        </is>
      </c>
      <c r="B513" s="2" t="inlineStr">
        <is>
          <t>Calcu Leet</t>
        </is>
      </c>
      <c r="C513" s="2" t="inlineStr">
        <is>
          <t>UPST</t>
        </is>
      </c>
      <c r="D513" s="2" t="inlineStr">
        <is>
          <t>044</t>
        </is>
      </c>
      <c r="E513" s="2" t="inlineStr">
        <is>
          <t>Upcoming Set</t>
        </is>
      </c>
      <c r="F513" s="2" t="inlineStr">
        <is>
          <t>Monster</t>
        </is>
      </c>
      <c r="G513" s="2" t="inlineStr">
        <is>
          <t>Cyberse / Effect</t>
        </is>
      </c>
      <c r="H513" s="2" t="inlineStr">
        <is>
          <t>Leet</t>
        </is>
      </c>
      <c r="I513" s="2" t="inlineStr">
        <is>
          <t>2026-04-26</t>
        </is>
      </c>
      <c r="J513" s="2" t="inlineStr">
        <is>
          <t>/assets/cards/Calcu_Leet.png</t>
        </is>
      </c>
      <c r="K513" s="2" t="inlineStr">
        <is>
          <t>No</t>
        </is>
      </c>
      <c r="L513" s="2" t="inlineStr">
        <is>
          <t>No</t>
        </is>
      </c>
      <c r="M513" s="2" t="inlineStr">
        <is>
          <t>No</t>
        </is>
      </c>
      <c r="N513" s="2">
        <f>IF(AND($K513="Yes",$L513="Yes",$M513="Yes"),"Yes","No")</f>
        <v/>
      </c>
      <c r="O513" s="2" t="inlineStr"/>
    </row>
    <row r="514">
      <c r="A514" s="2" t="inlineStr">
        <is>
          <t>CARD-00503</t>
        </is>
      </c>
      <c r="B514" s="2" t="inlineStr">
        <is>
          <t>Digita Leet</t>
        </is>
      </c>
      <c r="C514" s="2" t="inlineStr">
        <is>
          <t>UPST</t>
        </is>
      </c>
      <c r="D514" s="2" t="inlineStr">
        <is>
          <t>045</t>
        </is>
      </c>
      <c r="E514" s="2" t="inlineStr">
        <is>
          <t>Upcoming Set</t>
        </is>
      </c>
      <c r="F514" s="2" t="inlineStr">
        <is>
          <t>Monster</t>
        </is>
      </c>
      <c r="G514" s="2" t="inlineStr">
        <is>
          <t>Cyberse / Effect</t>
        </is>
      </c>
      <c r="H514" s="2" t="inlineStr">
        <is>
          <t>Leet</t>
        </is>
      </c>
      <c r="I514" s="2" t="inlineStr">
        <is>
          <t>2026-04-26</t>
        </is>
      </c>
      <c r="J514" s="2" t="inlineStr">
        <is>
          <t>/assets/cards/Digita_Leet.png</t>
        </is>
      </c>
      <c r="K514" s="2" t="inlineStr">
        <is>
          <t>No</t>
        </is>
      </c>
      <c r="L514" s="2" t="inlineStr">
        <is>
          <t>No</t>
        </is>
      </c>
      <c r="M514" s="2" t="inlineStr">
        <is>
          <t>No</t>
        </is>
      </c>
      <c r="N514" s="2">
        <f>IF(AND($K514="Yes",$L514="Yes",$M514="Yes"),"Yes","No")</f>
        <v/>
      </c>
      <c r="O514" s="2" t="inlineStr"/>
    </row>
    <row r="515">
      <c r="A515" s="2" t="inlineStr">
        <is>
          <t>CARD-00504</t>
        </is>
      </c>
      <c r="B515" s="2" t="inlineStr">
        <is>
          <t>Virtua Leet</t>
        </is>
      </c>
      <c r="C515" s="2" t="inlineStr">
        <is>
          <t>UPST</t>
        </is>
      </c>
      <c r="D515" s="2" t="inlineStr">
        <is>
          <t>046</t>
        </is>
      </c>
      <c r="E515" s="2" t="inlineStr">
        <is>
          <t>Upcoming Set</t>
        </is>
      </c>
      <c r="F515" s="2" t="inlineStr">
        <is>
          <t>Monster</t>
        </is>
      </c>
      <c r="G515" s="2" t="inlineStr">
        <is>
          <t>Cyberse / Fusion / Effect</t>
        </is>
      </c>
      <c r="H515" s="2" t="inlineStr">
        <is>
          <t>Leet</t>
        </is>
      </c>
      <c r="I515" s="2" t="inlineStr">
        <is>
          <t>2026-04-26</t>
        </is>
      </c>
      <c r="J515" s="2" t="inlineStr">
        <is>
          <t>/assets/cards/Virtua_Leet.png</t>
        </is>
      </c>
      <c r="K515" s="2" t="inlineStr">
        <is>
          <t>No</t>
        </is>
      </c>
      <c r="L515" s="2" t="inlineStr">
        <is>
          <t>No</t>
        </is>
      </c>
      <c r="M515" s="2" t="inlineStr">
        <is>
          <t>No</t>
        </is>
      </c>
      <c r="N515" s="2">
        <f>IF(AND($K515="Yes",$L515="Yes",$M515="Yes"),"Yes","No")</f>
        <v/>
      </c>
      <c r="O515" s="2" t="inlineStr"/>
    </row>
    <row r="516">
      <c r="A516" s="2" t="inlineStr">
        <is>
          <t>CARD-00505</t>
        </is>
      </c>
      <c r="B516" s="2" t="inlineStr">
        <is>
          <t>Herald of White Light</t>
        </is>
      </c>
      <c r="C516" s="2" t="inlineStr">
        <is>
          <t>UPST</t>
        </is>
      </c>
      <c r="D516" s="2" t="inlineStr">
        <is>
          <t>047</t>
        </is>
      </c>
      <c r="E516" s="2" t="inlineStr">
        <is>
          <t>Upcoming Set</t>
        </is>
      </c>
      <c r="F516" s="2" t="inlineStr">
        <is>
          <t>Monster</t>
        </is>
      </c>
      <c r="G516" s="2" t="inlineStr">
        <is>
          <t>Fairy / Synchro / Effect</t>
        </is>
      </c>
      <c r="H516" s="2" t="inlineStr">
        <is>
          <t>Herald</t>
        </is>
      </c>
      <c r="I516" s="2" t="inlineStr">
        <is>
          <t>2026-04-26</t>
        </is>
      </c>
      <c r="J516" s="2" t="inlineStr">
        <is>
          <t>/assets/cards/Herald_of_White_Light.png</t>
        </is>
      </c>
      <c r="K516" s="2" t="inlineStr">
        <is>
          <t>No</t>
        </is>
      </c>
      <c r="L516" s="2" t="inlineStr">
        <is>
          <t>No</t>
        </is>
      </c>
      <c r="M516" s="2" t="inlineStr">
        <is>
          <t>No</t>
        </is>
      </c>
      <c r="N516" s="2">
        <f>IF(AND($K516="Yes",$L516="Yes",$M516="Yes"),"Yes","No")</f>
        <v/>
      </c>
      <c r="O516" s="2" t="inlineStr"/>
    </row>
    <row r="517">
      <c r="A517" s="2" t="inlineStr">
        <is>
          <t>CARD-00506</t>
        </is>
      </c>
      <c r="B517" s="2" t="inlineStr">
        <is>
          <t>Thunder Dragon Behemoth</t>
        </is>
      </c>
      <c r="C517" s="2" t="inlineStr">
        <is>
          <t>UPST</t>
        </is>
      </c>
      <c r="D517" s="2" t="inlineStr">
        <is>
          <t>048</t>
        </is>
      </c>
      <c r="E517" s="2" t="inlineStr">
        <is>
          <t>Upcoming Set</t>
        </is>
      </c>
      <c r="F517" s="2" t="inlineStr">
        <is>
          <t>Monster</t>
        </is>
      </c>
      <c r="G517" s="2" t="inlineStr">
        <is>
          <t>Thunder / Fusion / Effect</t>
        </is>
      </c>
      <c r="H517" s="2" t="inlineStr">
        <is>
          <t>Thunder Dragon</t>
        </is>
      </c>
      <c r="I517" s="2" t="inlineStr">
        <is>
          <t>2026-04-26</t>
        </is>
      </c>
      <c r="J517" s="2" t="inlineStr">
        <is>
          <t>/assets/cards/Thunder_Dragon_Behemoth.png</t>
        </is>
      </c>
      <c r="K517" s="2" t="inlineStr">
        <is>
          <t>No</t>
        </is>
      </c>
      <c r="L517" s="2" t="inlineStr">
        <is>
          <t>No</t>
        </is>
      </c>
      <c r="M517" s="2" t="inlineStr">
        <is>
          <t>No</t>
        </is>
      </c>
      <c r="N517" s="2">
        <f>IF(AND($K517="Yes",$L517="Yes",$M517="Yes"),"Yes","No")</f>
        <v/>
      </c>
      <c r="O517" s="2" t="inlineStr"/>
    </row>
    <row r="518">
      <c r="A518" s="2" t="inlineStr">
        <is>
          <t>CARD-00507</t>
        </is>
      </c>
      <c r="B518" s="2" t="inlineStr">
        <is>
          <t>Aurelion Divine Illumination</t>
        </is>
      </c>
      <c r="C518" s="2" t="inlineStr">
        <is>
          <t>UPST</t>
        </is>
      </c>
      <c r="D518" s="2" t="inlineStr">
        <is>
          <t>049</t>
        </is>
      </c>
      <c r="E518" s="2" t="inlineStr">
        <is>
          <t>Upcoming Set</t>
        </is>
      </c>
      <c r="F518" s="2" t="inlineStr">
        <is>
          <t>Monster</t>
        </is>
      </c>
      <c r="G518" s="2" t="inlineStr">
        <is>
          <t>Dragon / Effect</t>
        </is>
      </c>
      <c r="H518" s="2" t="inlineStr">
        <is>
          <t>Aurelion — Divine Illumination</t>
        </is>
      </c>
      <c r="I518" s="2" t="inlineStr">
        <is>
          <t>2026-04-26</t>
        </is>
      </c>
      <c r="J518" s="2" t="inlineStr">
        <is>
          <t>/assets/cards/Aurelion_Divine_Illumination.png</t>
        </is>
      </c>
      <c r="K518" s="2" t="inlineStr">
        <is>
          <t>No</t>
        </is>
      </c>
      <c r="L518" s="2" t="inlineStr">
        <is>
          <t>No</t>
        </is>
      </c>
      <c r="M518" s="2" t="inlineStr">
        <is>
          <t>No</t>
        </is>
      </c>
      <c r="N518" s="2">
        <f>IF(AND($K518="Yes",$L518="Yes",$M518="Yes"),"Yes","No")</f>
        <v/>
      </c>
      <c r="O518" s="2" t="inlineStr"/>
    </row>
    <row r="519">
      <c r="A519" s="2" t="inlineStr">
        <is>
          <t>CARD-00508</t>
        </is>
      </c>
      <c r="B519" s="2" t="inlineStr">
        <is>
          <t>Lance Luminar Justiciar</t>
        </is>
      </c>
      <c r="C519" s="2" t="inlineStr">
        <is>
          <t>UPST</t>
        </is>
      </c>
      <c r="D519" s="2" t="inlineStr">
        <is>
          <t>050</t>
        </is>
      </c>
      <c r="E519" s="2" t="inlineStr">
        <is>
          <t>Upcoming Set</t>
        </is>
      </c>
      <c r="F519" s="2" t="inlineStr">
        <is>
          <t>Monster</t>
        </is>
      </c>
      <c r="G519" s="2" t="inlineStr">
        <is>
          <t>Magical Knight / Tuner / Effect</t>
        </is>
      </c>
      <c r="H519" s="2" t="inlineStr">
        <is>
          <t>Luminar</t>
        </is>
      </c>
      <c r="I519" s="2" t="inlineStr">
        <is>
          <t>2026-04-26</t>
        </is>
      </c>
      <c r="J519" s="2" t="inlineStr">
        <is>
          <t>/assets/cards/Lance_Luminar_Justiciar.png</t>
        </is>
      </c>
      <c r="K519" s="2" t="inlineStr">
        <is>
          <t>No</t>
        </is>
      </c>
      <c r="L519" s="2" t="inlineStr">
        <is>
          <t>No</t>
        </is>
      </c>
      <c r="M519" s="2" t="inlineStr">
        <is>
          <t>No</t>
        </is>
      </c>
      <c r="N519" s="2">
        <f>IF(AND($K519="Yes",$L519="Yes",$M519="Yes"),"Yes","No")</f>
        <v/>
      </c>
      <c r="O519" s="2" t="inlineStr"/>
    </row>
    <row r="520">
      <c r="A520" s="2" t="inlineStr">
        <is>
          <t>CARD-00509</t>
        </is>
      </c>
      <c r="B520" s="2" t="inlineStr">
        <is>
          <t>Scarstech Draco</t>
        </is>
      </c>
      <c r="C520" s="2" t="inlineStr">
        <is>
          <t>UPST</t>
        </is>
      </c>
      <c r="D520" s="2" t="inlineStr">
        <is>
          <t>051</t>
        </is>
      </c>
      <c r="E520" s="2" t="inlineStr">
        <is>
          <t>Upcoming Set</t>
        </is>
      </c>
      <c r="F520" s="2" t="inlineStr">
        <is>
          <t>Monster</t>
        </is>
      </c>
      <c r="G520" s="2" t="inlineStr">
        <is>
          <t>Galaxy / Effect</t>
        </is>
      </c>
      <c r="H520" s="2" t="inlineStr">
        <is>
          <t>Scarstech</t>
        </is>
      </c>
      <c r="I520" s="2" t="inlineStr">
        <is>
          <t>2026-04-26</t>
        </is>
      </c>
      <c r="J520" s="2" t="inlineStr">
        <is>
          <t>/assets/cards/Scarstech_Draco.png</t>
        </is>
      </c>
      <c r="K520" s="2" t="inlineStr">
        <is>
          <t>No</t>
        </is>
      </c>
      <c r="L520" s="2" t="inlineStr">
        <is>
          <t>No</t>
        </is>
      </c>
      <c r="M520" s="2" t="inlineStr">
        <is>
          <t>No</t>
        </is>
      </c>
      <c r="N520" s="2">
        <f>IF(AND($K520="Yes",$L520="Yes",$M520="Yes"),"Yes","No")</f>
        <v/>
      </c>
      <c r="O520" s="2" t="inlineStr"/>
    </row>
    <row r="521">
      <c r="A521" s="2" t="inlineStr">
        <is>
          <t>CARD-00510</t>
        </is>
      </c>
      <c r="B521" s="2" t="inlineStr">
        <is>
          <t>Scarstech Wyvern</t>
        </is>
      </c>
      <c r="C521" s="2" t="inlineStr">
        <is>
          <t>UPST</t>
        </is>
      </c>
      <c r="D521" s="2" t="inlineStr">
        <is>
          <t>052</t>
        </is>
      </c>
      <c r="E521" s="2" t="inlineStr">
        <is>
          <t>Upcoming Set</t>
        </is>
      </c>
      <c r="F521" s="2" t="inlineStr">
        <is>
          <t>Monster</t>
        </is>
      </c>
      <c r="G521" s="2" t="inlineStr">
        <is>
          <t>Galaxy / Effect</t>
        </is>
      </c>
      <c r="H521" s="2" t="inlineStr">
        <is>
          <t>Scarstech</t>
        </is>
      </c>
      <c r="I521" s="2" t="inlineStr">
        <is>
          <t>2026-04-26</t>
        </is>
      </c>
      <c r="J521" s="2" t="inlineStr">
        <is>
          <t>/assets/cards/Scarstech_Wyvern_1.png</t>
        </is>
      </c>
      <c r="K521" s="2" t="inlineStr">
        <is>
          <t>No</t>
        </is>
      </c>
      <c r="L521" s="2" t="inlineStr">
        <is>
          <t>No</t>
        </is>
      </c>
      <c r="M521" s="2" t="inlineStr">
        <is>
          <t>No</t>
        </is>
      </c>
      <c r="N521" s="2">
        <f>IF(AND($K521="Yes",$L521="Yes",$M521="Yes"),"Yes","No")</f>
        <v/>
      </c>
      <c r="O521" s="2" t="inlineStr"/>
    </row>
    <row r="522">
      <c r="A522" s="2" t="inlineStr">
        <is>
          <t>CARD-00511</t>
        </is>
      </c>
      <c r="B522" s="2" t="inlineStr">
        <is>
          <t>Scarstech Invader</t>
        </is>
      </c>
      <c r="C522" s="2" t="inlineStr">
        <is>
          <t>UPST</t>
        </is>
      </c>
      <c r="D522" s="2" t="inlineStr">
        <is>
          <t>053</t>
        </is>
      </c>
      <c r="E522" s="2" t="inlineStr">
        <is>
          <t>Upcoming Set</t>
        </is>
      </c>
      <c r="F522" s="2" t="inlineStr">
        <is>
          <t>Monster</t>
        </is>
      </c>
      <c r="G522" s="2" t="inlineStr">
        <is>
          <t>Galaxy / Effect</t>
        </is>
      </c>
      <c r="H522" s="2" t="inlineStr">
        <is>
          <t>Scarstech</t>
        </is>
      </c>
      <c r="I522" s="2" t="inlineStr">
        <is>
          <t>2026-04-26</t>
        </is>
      </c>
      <c r="J522" s="2" t="inlineStr">
        <is>
          <t>/assets/cards/Scarstech_Invader.png</t>
        </is>
      </c>
      <c r="K522" s="2" t="inlineStr">
        <is>
          <t>No</t>
        </is>
      </c>
      <c r="L522" s="2" t="inlineStr">
        <is>
          <t>No</t>
        </is>
      </c>
      <c r="M522" s="2" t="inlineStr">
        <is>
          <t>No</t>
        </is>
      </c>
      <c r="N522" s="2">
        <f>IF(AND($K522="Yes",$L522="Yes",$M522="Yes"),"Yes","No")</f>
        <v/>
      </c>
      <c r="O522" s="2" t="inlineStr"/>
    </row>
    <row r="523">
      <c r="A523" s="2" t="inlineStr">
        <is>
          <t>CARD-00512</t>
        </is>
      </c>
      <c r="B523" s="2" t="inlineStr">
        <is>
          <t>Ganan, the Scarstech City</t>
        </is>
      </c>
      <c r="C523" s="2" t="inlineStr">
        <is>
          <t>UPST</t>
        </is>
      </c>
      <c r="D523" s="2" t="inlineStr">
        <is>
          <t>054</t>
        </is>
      </c>
      <c r="E523" s="2" t="inlineStr">
        <is>
          <t>Upcoming Set</t>
        </is>
      </c>
      <c r="F523" s="2" t="inlineStr">
        <is>
          <t>Monster</t>
        </is>
      </c>
      <c r="G523" s="2" t="inlineStr">
        <is>
          <t>Galaxy / Link / Effect</t>
        </is>
      </c>
      <c r="H523" s="2" t="inlineStr">
        <is>
          <t>Scarstech</t>
        </is>
      </c>
      <c r="I523" s="2" t="inlineStr">
        <is>
          <t>2026-04-26</t>
        </is>
      </c>
      <c r="J523" s="2" t="inlineStr">
        <is>
          <t>/assets/cards/Ganan_the_Scarstech_City.png</t>
        </is>
      </c>
      <c r="K523" s="2" t="inlineStr">
        <is>
          <t>No</t>
        </is>
      </c>
      <c r="L523" s="2" t="inlineStr">
        <is>
          <t>No</t>
        </is>
      </c>
      <c r="M523" s="2" t="inlineStr">
        <is>
          <t>No</t>
        </is>
      </c>
      <c r="N523" s="2">
        <f>IF(AND($K523="Yes",$L523="Yes",$M523="Yes"),"Yes","No")</f>
        <v/>
      </c>
      <c r="O523" s="2" t="inlineStr"/>
    </row>
    <row r="524">
      <c r="A524" s="2" t="inlineStr">
        <is>
          <t>CARD-00513</t>
        </is>
      </c>
      <c r="B524" s="2" t="inlineStr">
        <is>
          <t>Qerets, the Scarstech Mother Ship</t>
        </is>
      </c>
      <c r="C524" s="2" t="inlineStr">
        <is>
          <t>UPST</t>
        </is>
      </c>
      <c r="D524" s="2" t="inlineStr">
        <is>
          <t>055</t>
        </is>
      </c>
      <c r="E524" s="2" t="inlineStr">
        <is>
          <t>Upcoming Set</t>
        </is>
      </c>
      <c r="F524" s="2" t="inlineStr">
        <is>
          <t>Monster</t>
        </is>
      </c>
      <c r="G524" s="2" t="inlineStr">
        <is>
          <t>Galaxy / Link / Effect</t>
        </is>
      </c>
      <c r="H524" s="2" t="inlineStr">
        <is>
          <t>Scarstech</t>
        </is>
      </c>
      <c r="I524" s="2" t="inlineStr">
        <is>
          <t>2026-04-26</t>
        </is>
      </c>
      <c r="J524" s="2" t="inlineStr">
        <is>
          <t>/assets/cards/Qerets_the_Scarstech_Mother_Ship.png</t>
        </is>
      </c>
      <c r="K524" s="2" t="inlineStr">
        <is>
          <t>No</t>
        </is>
      </c>
      <c r="L524" s="2" t="inlineStr">
        <is>
          <t>No</t>
        </is>
      </c>
      <c r="M524" s="2" t="inlineStr">
        <is>
          <t>No</t>
        </is>
      </c>
      <c r="N524" s="2">
        <f>IF(AND($K524="Yes",$L524="Yes",$M524="Yes"),"Yes","No")</f>
        <v/>
      </c>
      <c r="O524" s="2" t="inlineStr"/>
    </row>
    <row r="525">
      <c r="A525" s="2" t="inlineStr">
        <is>
          <t>CARD-00514</t>
        </is>
      </c>
      <c r="B525" s="2" t="inlineStr">
        <is>
          <t>Adamantios, the Dark Armor</t>
        </is>
      </c>
      <c r="C525" s="2" t="inlineStr">
        <is>
          <t>UPST</t>
        </is>
      </c>
      <c r="D525" s="2" t="inlineStr">
        <is>
          <t>056</t>
        </is>
      </c>
      <c r="E525" s="2" t="inlineStr">
        <is>
          <t>Upcoming Set</t>
        </is>
      </c>
      <c r="F525" s="2" t="inlineStr">
        <is>
          <t>Monster</t>
        </is>
      </c>
      <c r="G525" s="2" t="inlineStr">
        <is>
          <t>Warrior / Xyz / Effect</t>
        </is>
      </c>
      <c r="H525" s="2" t="inlineStr">
        <is>
          <t>Adamantios, the Dark Armor</t>
        </is>
      </c>
      <c r="I525" s="2" t="inlineStr">
        <is>
          <t>2026-04-26</t>
        </is>
      </c>
      <c r="J525" s="2" t="inlineStr">
        <is>
          <t>/assets/cards/Adamantios_the_Dark_Armor.png</t>
        </is>
      </c>
      <c r="K525" s="2" t="inlineStr">
        <is>
          <t>No</t>
        </is>
      </c>
      <c r="L525" s="2" t="inlineStr">
        <is>
          <t>No</t>
        </is>
      </c>
      <c r="M525" s="2" t="inlineStr">
        <is>
          <t>No</t>
        </is>
      </c>
      <c r="N525" s="2">
        <f>IF(AND($K525="Yes",$L525="Yes",$M525="Yes"),"Yes","No")</f>
        <v/>
      </c>
      <c r="O525" s="2" t="inlineStr"/>
    </row>
    <row r="526">
      <c r="A526" s="2" t="inlineStr">
        <is>
          <t>CARD-00515</t>
        </is>
      </c>
      <c r="B526" s="2" t="inlineStr">
        <is>
          <t>Disciple of Fire</t>
        </is>
      </c>
      <c r="C526" s="2" t="inlineStr">
        <is>
          <t>UPST</t>
        </is>
      </c>
      <c r="D526" s="2" t="inlineStr">
        <is>
          <t>057</t>
        </is>
      </c>
      <c r="E526" s="2" t="inlineStr">
        <is>
          <t>Upcoming Set</t>
        </is>
      </c>
      <c r="F526" s="2" t="inlineStr">
        <is>
          <t>Monster</t>
        </is>
      </c>
      <c r="G526" s="2" t="inlineStr">
        <is>
          <t>Warrior / Effect</t>
        </is>
      </c>
      <c r="H526" s="2" t="inlineStr">
        <is>
          <t>Phlogistic Uprising!</t>
        </is>
      </c>
      <c r="I526" s="2" t="inlineStr">
        <is>
          <t>2026-04-26</t>
        </is>
      </c>
      <c r="J526" s="2" t="inlineStr">
        <is>
          <t>/assets/cards/Disciple_of_Fire.png</t>
        </is>
      </c>
      <c r="K526" s="2" t="inlineStr">
        <is>
          <t>No</t>
        </is>
      </c>
      <c r="L526" s="2" t="inlineStr">
        <is>
          <t>No</t>
        </is>
      </c>
      <c r="M526" s="2" t="inlineStr">
        <is>
          <t>No</t>
        </is>
      </c>
      <c r="N526" s="2">
        <f>IF(AND($K526="Yes",$L526="Yes",$M526="Yes"),"Yes","No")</f>
        <v/>
      </c>
      <c r="O526" s="2" t="inlineStr"/>
    </row>
    <row r="527">
      <c r="A527" s="2" t="inlineStr">
        <is>
          <t>CARD-00516</t>
        </is>
      </c>
      <c r="B527" s="2" t="inlineStr">
        <is>
          <t>Sorceress of Fire</t>
        </is>
      </c>
      <c r="C527" s="2" t="inlineStr">
        <is>
          <t>UPST</t>
        </is>
      </c>
      <c r="D527" s="2" t="inlineStr">
        <is>
          <t>058</t>
        </is>
      </c>
      <c r="E527" s="2" t="inlineStr">
        <is>
          <t>Upcoming Set</t>
        </is>
      </c>
      <c r="F527" s="2" t="inlineStr">
        <is>
          <t>Monster</t>
        </is>
      </c>
      <c r="G527" s="2" t="inlineStr">
        <is>
          <t>Spellcaster / Effect</t>
        </is>
      </c>
      <c r="H527" s="2" t="inlineStr">
        <is>
          <t>Phlogiston Dragon</t>
        </is>
      </c>
      <c r="I527" s="2" t="inlineStr">
        <is>
          <t>2026-04-26</t>
        </is>
      </c>
      <c r="J527" s="2" t="inlineStr">
        <is>
          <t>/assets/cards/Sorceress_of_Fire.png</t>
        </is>
      </c>
      <c r="K527" s="2" t="inlineStr">
        <is>
          <t>No</t>
        </is>
      </c>
      <c r="L527" s="2" t="inlineStr">
        <is>
          <t>No</t>
        </is>
      </c>
      <c r="M527" s="2" t="inlineStr">
        <is>
          <t>No</t>
        </is>
      </c>
      <c r="N527" s="2">
        <f>IF(AND($K527="Yes",$L527="Yes",$M527="Yes"),"Yes","No")</f>
        <v/>
      </c>
      <c r="O527" s="2" t="inlineStr"/>
    </row>
    <row r="528">
      <c r="A528" s="2" t="inlineStr">
        <is>
          <t>CARD-00517</t>
        </is>
      </c>
      <c r="B528" s="2" t="inlineStr">
        <is>
          <t>Phlogiston's Roar</t>
        </is>
      </c>
      <c r="C528" s="2" t="inlineStr">
        <is>
          <t>UPST</t>
        </is>
      </c>
      <c r="D528" s="2" t="inlineStr">
        <is>
          <t>059</t>
        </is>
      </c>
      <c r="E528" s="2" t="inlineStr">
        <is>
          <t>Upcoming Set</t>
        </is>
      </c>
      <c r="F528" s="2" t="inlineStr">
        <is>
          <t>Trap</t>
        </is>
      </c>
      <c r="G528" s="2" t="inlineStr">
        <is>
          <t>Trap / Counter</t>
        </is>
      </c>
      <c r="H528" s="2" t="inlineStr">
        <is>
          <t>Phlogiston's Roar!</t>
        </is>
      </c>
      <c r="I528" s="2" t="inlineStr">
        <is>
          <t>2026-04-26</t>
        </is>
      </c>
      <c r="J528" s="2" t="inlineStr">
        <is>
          <t>/assets/cards/Phlogistons_Roar.png</t>
        </is>
      </c>
      <c r="K528" s="2" t="inlineStr">
        <is>
          <t>No</t>
        </is>
      </c>
      <c r="L528" s="2" t="inlineStr">
        <is>
          <t>No</t>
        </is>
      </c>
      <c r="M528" s="2" t="inlineStr">
        <is>
          <t>No</t>
        </is>
      </c>
      <c r="N528" s="2">
        <f>IF(AND($K528="Yes",$L528="Yes",$M528="Yes"),"Yes","No")</f>
        <v/>
      </c>
      <c r="O528" s="2" t="inlineStr"/>
    </row>
    <row r="529">
      <c r="A529" s="2" t="inlineStr">
        <is>
          <t>CARD-00518</t>
        </is>
      </c>
      <c r="B529" s="2" t="inlineStr">
        <is>
          <t>Harpie Cyber Dancer</t>
        </is>
      </c>
      <c r="C529" s="2" t="inlineStr">
        <is>
          <t>UPST</t>
        </is>
      </c>
      <c r="D529" s="2" t="inlineStr">
        <is>
          <t>060</t>
        </is>
      </c>
      <c r="E529" s="2" t="inlineStr">
        <is>
          <t>Upcoming Set</t>
        </is>
      </c>
      <c r="F529" s="2" t="inlineStr">
        <is>
          <t>Monster</t>
        </is>
      </c>
      <c r="G529" s="2" t="inlineStr">
        <is>
          <t>Winged Beast / Effect</t>
        </is>
      </c>
      <c r="H529" s="2" t="inlineStr">
        <is>
          <t>Harpie</t>
        </is>
      </c>
      <c r="I529" s="2" t="inlineStr">
        <is>
          <t>2026-04-26</t>
        </is>
      </c>
      <c r="J529" s="2" t="inlineStr">
        <is>
          <t>/assets/cards/Harpie_Cyber_Dancer.png</t>
        </is>
      </c>
      <c r="K529" s="2" t="inlineStr">
        <is>
          <t>No</t>
        </is>
      </c>
      <c r="L529" s="2" t="inlineStr">
        <is>
          <t>No</t>
        </is>
      </c>
      <c r="M529" s="2" t="inlineStr">
        <is>
          <t>No</t>
        </is>
      </c>
      <c r="N529" s="2">
        <f>IF(AND($K529="Yes",$L529="Yes",$M529="Yes"),"Yes","No")</f>
        <v/>
      </c>
      <c r="O529" s="2" t="inlineStr"/>
    </row>
    <row r="530">
      <c r="A530" s="2" t="inlineStr">
        <is>
          <t>CARD-00519</t>
        </is>
      </c>
      <c r="B530" s="2" t="inlineStr">
        <is>
          <t>Harpie Lady Sisters - Phoenix Formation</t>
        </is>
      </c>
      <c r="C530" s="2" t="inlineStr">
        <is>
          <t>UPST</t>
        </is>
      </c>
      <c r="D530" s="2" t="inlineStr">
        <is>
          <t>061</t>
        </is>
      </c>
      <c r="E530" s="2" t="inlineStr">
        <is>
          <t>Upcoming Set</t>
        </is>
      </c>
      <c r="F530" s="2" t="inlineStr">
        <is>
          <t>Monster</t>
        </is>
      </c>
      <c r="G530" s="2" t="inlineStr">
        <is>
          <t>Winged Beast / Synchro / Effect</t>
        </is>
      </c>
      <c r="H530" s="2" t="inlineStr">
        <is>
          <t>Harpie</t>
        </is>
      </c>
      <c r="I530" s="2" t="inlineStr">
        <is>
          <t>2026-04-26</t>
        </is>
      </c>
      <c r="J530" s="2" t="inlineStr">
        <is>
          <t>/assets/cards/Harpie_Lady_Sisters_-_Phoenix_Formation.png</t>
        </is>
      </c>
      <c r="K530" s="2" t="inlineStr">
        <is>
          <t>No</t>
        </is>
      </c>
      <c r="L530" s="2" t="inlineStr">
        <is>
          <t>No</t>
        </is>
      </c>
      <c r="M530" s="2" t="inlineStr">
        <is>
          <t>No</t>
        </is>
      </c>
      <c r="N530" s="2">
        <f>IF(AND($K530="Yes",$L530="Yes",$M530="Yes"),"Yes","No")</f>
        <v/>
      </c>
      <c r="O530" s="2" t="inlineStr"/>
    </row>
    <row r="531">
      <c r="A531" s="2" t="inlineStr">
        <is>
          <t>CARD-00520</t>
        </is>
      </c>
      <c r="B531" s="2" t="inlineStr">
        <is>
          <t>Mirage Formation Dragon</t>
        </is>
      </c>
      <c r="C531" s="2" t="inlineStr">
        <is>
          <t>UPST</t>
        </is>
      </c>
      <c r="D531" s="2" t="inlineStr">
        <is>
          <t>062</t>
        </is>
      </c>
      <c r="E531" s="2" t="inlineStr">
        <is>
          <t>Upcoming Set</t>
        </is>
      </c>
      <c r="F531" s="2" t="inlineStr">
        <is>
          <t>Monster</t>
        </is>
      </c>
      <c r="G531" s="2" t="inlineStr">
        <is>
          <t>Winged Beast / Xyz / Effect</t>
        </is>
      </c>
      <c r="H531" s="2" t="inlineStr">
        <is>
          <t xml:space="preserve">Harpie Lady monsters you control. If your opponent Special Summons a monster by card effect: You can detach 1 material, then target 1 card you control and 1 face-up card your opponent controls; return both to the hand or destroy both. You can only use each effect of </t>
        </is>
      </c>
      <c r="I531" s="2" t="inlineStr">
        <is>
          <t>2026-04-26</t>
        </is>
      </c>
      <c r="J531" s="2" t="inlineStr">
        <is>
          <t>/assets/cards/Mirage_Formation_Dragon.png</t>
        </is>
      </c>
      <c r="K531" s="2" t="inlineStr">
        <is>
          <t>No</t>
        </is>
      </c>
      <c r="L531" s="2" t="inlineStr">
        <is>
          <t>No</t>
        </is>
      </c>
      <c r="M531" s="2" t="inlineStr">
        <is>
          <t>No</t>
        </is>
      </c>
      <c r="N531" s="2">
        <f>IF(AND($K531="Yes",$L531="Yes",$M531="Yes"),"Yes","No")</f>
        <v/>
      </c>
      <c r="O531" s="2" t="inlineStr"/>
    </row>
    <row r="532">
      <c r="A532" s="2" t="inlineStr">
        <is>
          <t>CARD-00521</t>
        </is>
      </c>
      <c r="B532" s="2" t="inlineStr">
        <is>
          <t>Glitchling Bitron</t>
        </is>
      </c>
      <c r="C532" s="2" t="inlineStr">
        <is>
          <t>UPST</t>
        </is>
      </c>
      <c r="D532" s="2" t="inlineStr">
        <is>
          <t>063</t>
        </is>
      </c>
      <c r="E532" s="2" t="inlineStr">
        <is>
          <t>Upcoming Set</t>
        </is>
      </c>
      <c r="F532" s="2" t="inlineStr">
        <is>
          <t>Monster</t>
        </is>
      </c>
      <c r="G532" s="2" t="inlineStr">
        <is>
          <t>Cyberse / Ritual / Effect</t>
        </is>
      </c>
      <c r="H532" s="2" t="inlineStr">
        <is>
          <t>Glitchling</t>
        </is>
      </c>
      <c r="I532" s="2" t="inlineStr">
        <is>
          <t>2026-04-26</t>
        </is>
      </c>
      <c r="J532" s="2" t="inlineStr">
        <is>
          <t>/assets/cards/Glitchling_Bitron.png</t>
        </is>
      </c>
      <c r="K532" s="2" t="inlineStr">
        <is>
          <t>No</t>
        </is>
      </c>
      <c r="L532" s="2" t="inlineStr">
        <is>
          <t>No</t>
        </is>
      </c>
      <c r="M532" s="2" t="inlineStr">
        <is>
          <t>No</t>
        </is>
      </c>
      <c r="N532" s="2">
        <f>IF(AND($K532="Yes",$L532="Yes",$M532="Yes"),"Yes","No")</f>
        <v/>
      </c>
      <c r="O532" s="2" t="inlineStr"/>
    </row>
    <row r="533">
      <c r="A533" s="2" t="inlineStr">
        <is>
          <t>CARD-00522</t>
        </is>
      </c>
      <c r="B533" s="2" t="inlineStr">
        <is>
          <t>Glitchling Protron</t>
        </is>
      </c>
      <c r="C533" s="2" t="inlineStr">
        <is>
          <t>UPST</t>
        </is>
      </c>
      <c r="D533" s="2" t="inlineStr">
        <is>
          <t>064</t>
        </is>
      </c>
      <c r="E533" s="2" t="inlineStr">
        <is>
          <t>Upcoming Set</t>
        </is>
      </c>
      <c r="F533" s="2" t="inlineStr">
        <is>
          <t>Monster</t>
        </is>
      </c>
      <c r="G533" s="2" t="inlineStr">
        <is>
          <t>Cyberse / Ritual / Effect</t>
        </is>
      </c>
      <c r="H533" s="2" t="inlineStr">
        <is>
          <t>Glitchling</t>
        </is>
      </c>
      <c r="I533" s="2" t="inlineStr">
        <is>
          <t>2026-04-26</t>
        </is>
      </c>
      <c r="J533" s="2" t="inlineStr">
        <is>
          <t>/assets/cards/Glitchling_Protron.png</t>
        </is>
      </c>
      <c r="K533" s="2" t="inlineStr">
        <is>
          <t>No</t>
        </is>
      </c>
      <c r="L533" s="2" t="inlineStr">
        <is>
          <t>No</t>
        </is>
      </c>
      <c r="M533" s="2" t="inlineStr">
        <is>
          <t>No</t>
        </is>
      </c>
      <c r="N533" s="2">
        <f>IF(AND($K533="Yes",$L533="Yes",$M533="Yes"),"Yes","No")</f>
        <v/>
      </c>
      <c r="O533" s="2" t="inlineStr"/>
    </row>
    <row r="534">
      <c r="A534" s="2" t="inlineStr">
        <is>
          <t>CARD-00523</t>
        </is>
      </c>
      <c r="B534" s="2" t="inlineStr">
        <is>
          <t>Glitchling Witch</t>
        </is>
      </c>
      <c r="C534" s="2" t="inlineStr">
        <is>
          <t>UPST</t>
        </is>
      </c>
      <c r="D534" s="2" t="inlineStr">
        <is>
          <t>065</t>
        </is>
      </c>
      <c r="E534" s="2" t="inlineStr">
        <is>
          <t>Upcoming Set</t>
        </is>
      </c>
      <c r="F534" s="2" t="inlineStr">
        <is>
          <t>Monster</t>
        </is>
      </c>
      <c r="G534" s="2" t="inlineStr">
        <is>
          <t>Cyberse / Ritual / Pendulum / Effect</t>
        </is>
      </c>
      <c r="H534" s="2" t="inlineStr">
        <is>
          <t>Glitchling</t>
        </is>
      </c>
      <c r="I534" s="2" t="inlineStr">
        <is>
          <t>2026-04-26</t>
        </is>
      </c>
      <c r="J534" s="2" t="inlineStr">
        <is>
          <t>/assets/cards/Glitchling_Witch_1.png</t>
        </is>
      </c>
      <c r="K534" s="2" t="inlineStr">
        <is>
          <t>No</t>
        </is>
      </c>
      <c r="L534" s="2" t="inlineStr">
        <is>
          <t>No</t>
        </is>
      </c>
      <c r="M534" s="2" t="inlineStr">
        <is>
          <t>No</t>
        </is>
      </c>
      <c r="N534" s="2">
        <f>IF(AND($K534="Yes",$L534="Yes",$M534="Yes"),"Yes","No")</f>
        <v/>
      </c>
      <c r="O534" s="2" t="inlineStr"/>
    </row>
    <row r="535">
      <c r="A535" s="2" t="inlineStr">
        <is>
          <t>CARD-00524</t>
        </is>
      </c>
      <c r="B535" s="2" t="inlineStr">
        <is>
          <t>Glitchling Data-Transfert</t>
        </is>
      </c>
      <c r="C535" s="2" t="inlineStr">
        <is>
          <t>UPST</t>
        </is>
      </c>
      <c r="D535" s="2" t="inlineStr">
        <is>
          <t>066</t>
        </is>
      </c>
      <c r="E535" s="2" t="inlineStr">
        <is>
          <t>Upcoming Set</t>
        </is>
      </c>
      <c r="F535" s="2" t="inlineStr">
        <is>
          <t>Spell</t>
        </is>
      </c>
      <c r="G535" s="2" t="inlineStr">
        <is>
          <t>Spell / Continuous</t>
        </is>
      </c>
      <c r="H535" s="2" t="inlineStr">
        <is>
          <t>Glitchling</t>
        </is>
      </c>
      <c r="I535" s="2" t="inlineStr">
        <is>
          <t>2026-04-26</t>
        </is>
      </c>
      <c r="J535" s="2" t="inlineStr">
        <is>
          <t>/assets/cards/Glitchling_Data-Transfert.png</t>
        </is>
      </c>
      <c r="K535" s="2" t="inlineStr">
        <is>
          <t>No</t>
        </is>
      </c>
      <c r="L535" s="2" t="inlineStr">
        <is>
          <t>No</t>
        </is>
      </c>
      <c r="M535" s="2" t="inlineStr">
        <is>
          <t>No</t>
        </is>
      </c>
      <c r="N535" s="2">
        <f>IF(AND($K535="Yes",$L535="Yes",$M535="Yes"),"Yes","No")</f>
        <v/>
      </c>
      <c r="O535" s="2" t="inlineStr"/>
    </row>
    <row r="536">
      <c r="A536" s="2" t="inlineStr">
        <is>
          <t>CARD-00525</t>
        </is>
      </c>
      <c r="B536" s="2" t="inlineStr">
        <is>
          <t>Glitchling Octron</t>
        </is>
      </c>
      <c r="C536" s="2" t="inlineStr">
        <is>
          <t>UPST</t>
        </is>
      </c>
      <c r="D536" s="2" t="inlineStr">
        <is>
          <t>067</t>
        </is>
      </c>
      <c r="E536" s="2" t="inlineStr">
        <is>
          <t>Upcoming Set</t>
        </is>
      </c>
      <c r="F536" s="2" t="inlineStr">
        <is>
          <t>Monster</t>
        </is>
      </c>
      <c r="G536" s="2" t="inlineStr">
        <is>
          <t>Cyberse / Link / Effect</t>
        </is>
      </c>
      <c r="H536" s="2" t="inlineStr">
        <is>
          <t>Glitchling</t>
        </is>
      </c>
      <c r="I536" s="2" t="inlineStr">
        <is>
          <t>2026-04-26</t>
        </is>
      </c>
      <c r="J536" s="2" t="inlineStr">
        <is>
          <t>/assets/cards/Glitchling_Octron.png</t>
        </is>
      </c>
      <c r="K536" s="2" t="inlineStr">
        <is>
          <t>No</t>
        </is>
      </c>
      <c r="L536" s="2" t="inlineStr">
        <is>
          <t>No</t>
        </is>
      </c>
      <c r="M536" s="2" t="inlineStr">
        <is>
          <t>No</t>
        </is>
      </c>
      <c r="N536" s="2">
        <f>IF(AND($K536="Yes",$L536="Yes",$M536="Yes"),"Yes","No")</f>
        <v/>
      </c>
      <c r="O536" s="2" t="inlineStr"/>
    </row>
    <row r="537">
      <c r="A537" s="2" t="inlineStr">
        <is>
          <t>CARD-00526</t>
        </is>
      </c>
      <c r="B537" s="2" t="inlineStr">
        <is>
          <t>Glitchling Digitron</t>
        </is>
      </c>
      <c r="C537" s="2" t="inlineStr">
        <is>
          <t>UPST</t>
        </is>
      </c>
      <c r="D537" s="2" t="inlineStr">
        <is>
          <t>068</t>
        </is>
      </c>
      <c r="E537" s="2" t="inlineStr">
        <is>
          <t>Upcoming Set</t>
        </is>
      </c>
      <c r="F537" s="2" t="inlineStr">
        <is>
          <t>Monster</t>
        </is>
      </c>
      <c r="G537" s="2" t="inlineStr">
        <is>
          <t>Cyberse / Ritual / Effect</t>
        </is>
      </c>
      <c r="H537" s="2" t="inlineStr">
        <is>
          <t>Glitchling</t>
        </is>
      </c>
      <c r="I537" s="2" t="inlineStr">
        <is>
          <t>2026-04-26</t>
        </is>
      </c>
      <c r="J537" s="2" t="inlineStr">
        <is>
          <t>/assets/cards/Glitchling_Digitron.png</t>
        </is>
      </c>
      <c r="K537" s="2" t="inlineStr">
        <is>
          <t>No</t>
        </is>
      </c>
      <c r="L537" s="2" t="inlineStr">
        <is>
          <t>No</t>
        </is>
      </c>
      <c r="M537" s="2" t="inlineStr">
        <is>
          <t>No</t>
        </is>
      </c>
      <c r="N537" s="2">
        <f>IF(AND($K537="Yes",$L537="Yes",$M537="Yes"),"Yes","No")</f>
        <v/>
      </c>
      <c r="O537" s="2" t="inlineStr"/>
    </row>
    <row r="538">
      <c r="A538" s="2" t="inlineStr">
        <is>
          <t>CARD-00527</t>
        </is>
      </c>
      <c r="B538" s="2" t="inlineStr">
        <is>
          <t>Glitchling Mage</t>
        </is>
      </c>
      <c r="C538" s="2" t="inlineStr">
        <is>
          <t>UPST</t>
        </is>
      </c>
      <c r="D538" s="2" t="inlineStr">
        <is>
          <t>069</t>
        </is>
      </c>
      <c r="E538" s="2" t="inlineStr">
        <is>
          <t>Upcoming Set</t>
        </is>
      </c>
      <c r="F538" s="2" t="inlineStr">
        <is>
          <t>Monster</t>
        </is>
      </c>
      <c r="G538" s="2" t="inlineStr">
        <is>
          <t>Cyberse / Ritual / Effect</t>
        </is>
      </c>
      <c r="H538" s="2" t="inlineStr">
        <is>
          <t>Glitchling</t>
        </is>
      </c>
      <c r="I538" s="2" t="inlineStr">
        <is>
          <t>2026-04-26</t>
        </is>
      </c>
      <c r="J538" s="2" t="inlineStr">
        <is>
          <t>/assets/cards/Glitchling_Mage.png</t>
        </is>
      </c>
      <c r="K538" s="2" t="inlineStr">
        <is>
          <t>No</t>
        </is>
      </c>
      <c r="L538" s="2" t="inlineStr">
        <is>
          <t>No</t>
        </is>
      </c>
      <c r="M538" s="2" t="inlineStr">
        <is>
          <t>No</t>
        </is>
      </c>
      <c r="N538" s="2">
        <f>IF(AND($K538="Yes",$L538="Yes",$M538="Yes"),"Yes","No")</f>
        <v/>
      </c>
      <c r="O538" s="2" t="inlineStr"/>
    </row>
    <row r="539">
      <c r="A539" s="2" t="inlineStr">
        <is>
          <t>CARD-00528</t>
        </is>
      </c>
      <c r="B539" s="2" t="inlineStr">
        <is>
          <t>Glitchling Leotron</t>
        </is>
      </c>
      <c r="C539" s="2" t="inlineStr">
        <is>
          <t>UPST</t>
        </is>
      </c>
      <c r="D539" s="2" t="inlineStr">
        <is>
          <t>070</t>
        </is>
      </c>
      <c r="E539" s="2" t="inlineStr">
        <is>
          <t>Upcoming Set</t>
        </is>
      </c>
      <c r="F539" s="2" t="inlineStr">
        <is>
          <t>Monster</t>
        </is>
      </c>
      <c r="G539" s="2" t="inlineStr">
        <is>
          <t>Cyberse / Ritual / Effect</t>
        </is>
      </c>
      <c r="H539" s="2" t="inlineStr">
        <is>
          <t>Glitchling</t>
        </is>
      </c>
      <c r="I539" s="2" t="inlineStr">
        <is>
          <t>2026-04-26</t>
        </is>
      </c>
      <c r="J539" s="2" t="inlineStr">
        <is>
          <t>/assets/cards/Glitchling_Leotron.png</t>
        </is>
      </c>
      <c r="K539" s="2" t="inlineStr">
        <is>
          <t>No</t>
        </is>
      </c>
      <c r="L539" s="2" t="inlineStr">
        <is>
          <t>No</t>
        </is>
      </c>
      <c r="M539" s="2" t="inlineStr">
        <is>
          <t>No</t>
        </is>
      </c>
      <c r="N539" s="2">
        <f>IF(AND($K539="Yes",$L539="Yes",$M539="Yes"),"Yes","No")</f>
        <v/>
      </c>
      <c r="O539" s="2" t="inlineStr"/>
    </row>
    <row r="540">
      <c r="A540" s="2" t="inlineStr">
        <is>
          <t>CARD-00529</t>
        </is>
      </c>
      <c r="B540" s="2" t="inlineStr">
        <is>
          <t>Glitchling Corruption</t>
        </is>
      </c>
      <c r="C540" s="2" t="inlineStr">
        <is>
          <t>UPST</t>
        </is>
      </c>
      <c r="D540" s="2" t="inlineStr">
        <is>
          <t>071</t>
        </is>
      </c>
      <c r="E540" s="2" t="inlineStr">
        <is>
          <t>Upcoming Set</t>
        </is>
      </c>
      <c r="F540" s="2" t="inlineStr">
        <is>
          <t>Spell</t>
        </is>
      </c>
      <c r="G540" s="2" t="inlineStr">
        <is>
          <t>Spell / Normal</t>
        </is>
      </c>
      <c r="H540" s="2" t="inlineStr">
        <is>
          <t>Glitchling</t>
        </is>
      </c>
      <c r="I540" s="2" t="inlineStr">
        <is>
          <t>2026-04-26</t>
        </is>
      </c>
      <c r="J540" s="2" t="inlineStr">
        <is>
          <t>/assets/cards/Glitchling_Corruption.png</t>
        </is>
      </c>
      <c r="K540" s="2" t="inlineStr">
        <is>
          <t>No</t>
        </is>
      </c>
      <c r="L540" s="2" t="inlineStr">
        <is>
          <t>No</t>
        </is>
      </c>
      <c r="M540" s="2" t="inlineStr">
        <is>
          <t>No</t>
        </is>
      </c>
      <c r="N540" s="2">
        <f>IF(AND($K540="Yes",$L540="Yes",$M540="Yes"),"Yes","No")</f>
        <v/>
      </c>
      <c r="O540" s="2" t="inlineStr"/>
    </row>
    <row r="541">
      <c r="A541" s="2" t="inlineStr">
        <is>
          <t>CARD-00530</t>
        </is>
      </c>
      <c r="B541" s="2" t="inlineStr">
        <is>
          <t>Glitchling Hexatron</t>
        </is>
      </c>
      <c r="C541" s="2" t="inlineStr">
        <is>
          <t>UPST</t>
        </is>
      </c>
      <c r="D541" s="2" t="inlineStr">
        <is>
          <t>072</t>
        </is>
      </c>
      <c r="E541" s="2" t="inlineStr">
        <is>
          <t>Upcoming Set</t>
        </is>
      </c>
      <c r="F541" s="2" t="inlineStr">
        <is>
          <t>Monster</t>
        </is>
      </c>
      <c r="G541" s="2" t="inlineStr">
        <is>
          <t>Cyberse / Link / Effect</t>
        </is>
      </c>
      <c r="H541" s="2" t="inlineStr">
        <is>
          <t>Glitchling</t>
        </is>
      </c>
      <c r="I541" s="2" t="inlineStr">
        <is>
          <t>2026-04-26</t>
        </is>
      </c>
      <c r="J541" s="2" t="inlineStr">
        <is>
          <t>/assets/cards/Glitchling_Hexatron.png</t>
        </is>
      </c>
      <c r="K541" s="2" t="inlineStr">
        <is>
          <t>No</t>
        </is>
      </c>
      <c r="L541" s="2" t="inlineStr">
        <is>
          <t>No</t>
        </is>
      </c>
      <c r="M541" s="2" t="inlineStr">
        <is>
          <t>No</t>
        </is>
      </c>
      <c r="N541" s="2">
        <f>IF(AND($K541="Yes",$L541="Yes",$M541="Yes"),"Yes","No")</f>
        <v/>
      </c>
      <c r="O541" s="2" t="inlineStr"/>
    </row>
    <row r="542">
      <c r="A542" s="2" t="inlineStr">
        <is>
          <t>CARD-00531</t>
        </is>
      </c>
      <c r="B542" s="2" t="inlineStr">
        <is>
          <t>Heart of the Cards</t>
        </is>
      </c>
      <c r="C542" s="2" t="inlineStr">
        <is>
          <t>UPST</t>
        </is>
      </c>
      <c r="D542" s="2" t="inlineStr">
        <is>
          <t>073</t>
        </is>
      </c>
      <c r="E542" s="2" t="inlineStr">
        <is>
          <t>Upcoming Set</t>
        </is>
      </c>
      <c r="F542" s="2" t="inlineStr">
        <is>
          <t>Trap</t>
        </is>
      </c>
      <c r="G542" s="2" t="inlineStr">
        <is>
          <t>Trap / Normal</t>
        </is>
      </c>
      <c r="H542" s="2" t="inlineStr">
        <is>
          <t>Heart of the Cards</t>
        </is>
      </c>
      <c r="I542" s="2" t="inlineStr">
        <is>
          <t>2026-04-26</t>
        </is>
      </c>
      <c r="J542" s="2" t="inlineStr">
        <is>
          <t>/assets/cards/Heart_of_the_Cards.png</t>
        </is>
      </c>
      <c r="K542" s="2" t="inlineStr">
        <is>
          <t>No</t>
        </is>
      </c>
      <c r="L542" s="2" t="inlineStr">
        <is>
          <t>No</t>
        </is>
      </c>
      <c r="M542" s="2" t="inlineStr">
        <is>
          <t>No</t>
        </is>
      </c>
      <c r="N542" s="2">
        <f>IF(AND($K542="Yes",$L542="Yes",$M542="Yes"),"Yes","No")</f>
        <v/>
      </c>
      <c r="O542" s="2" t="inlineStr"/>
    </row>
    <row r="543">
      <c r="A543" s="2" t="inlineStr">
        <is>
          <t>CARD-00532</t>
        </is>
      </c>
      <c r="B543" s="2" t="inlineStr">
        <is>
          <t>The Orcustograph</t>
        </is>
      </c>
      <c r="C543" s="2" t="inlineStr">
        <is>
          <t>UPST</t>
        </is>
      </c>
      <c r="D543" s="2" t="inlineStr">
        <is>
          <t>074</t>
        </is>
      </c>
      <c r="E543" s="2" t="inlineStr">
        <is>
          <t>Upcoming Set</t>
        </is>
      </c>
      <c r="F543" s="2" t="inlineStr">
        <is>
          <t>Monster</t>
        </is>
      </c>
      <c r="G543" s="2" t="inlineStr">
        <is>
          <t>Machine / Synchro / Effect</t>
        </is>
      </c>
      <c r="H543" s="2" t="inlineStr">
        <is>
          <t>Orcust</t>
        </is>
      </c>
      <c r="I543" s="2" t="inlineStr">
        <is>
          <t>2026-04-26</t>
        </is>
      </c>
      <c r="J543" s="2" t="inlineStr">
        <is>
          <t>/assets/cards/The_Orcustograph.png</t>
        </is>
      </c>
      <c r="K543" s="2" t="inlineStr">
        <is>
          <t>No</t>
        </is>
      </c>
      <c r="L543" s="2" t="inlineStr">
        <is>
          <t>No</t>
        </is>
      </c>
      <c r="M543" s="2" t="inlineStr">
        <is>
          <t>No</t>
        </is>
      </c>
      <c r="N543" s="2">
        <f>IF(AND($K543="Yes",$L543="Yes",$M543="Yes"),"Yes","No")</f>
        <v/>
      </c>
      <c r="O543" s="2" t="inlineStr"/>
    </row>
    <row r="544">
      <c r="A544" s="2" t="inlineStr">
        <is>
          <t>CARD-00533</t>
        </is>
      </c>
      <c r="B544" s="2" t="inlineStr">
        <is>
          <t>Galatea-2, the Orcust Divider</t>
        </is>
      </c>
      <c r="C544" s="2" t="inlineStr">
        <is>
          <t>UPST</t>
        </is>
      </c>
      <c r="D544" s="2" t="inlineStr">
        <is>
          <t>075</t>
        </is>
      </c>
      <c r="E544" s="2" t="inlineStr">
        <is>
          <t>Upcoming Set</t>
        </is>
      </c>
      <c r="F544" s="2" t="inlineStr">
        <is>
          <t>Monster</t>
        </is>
      </c>
      <c r="G544" s="2" t="inlineStr">
        <is>
          <t>Machine / Link / Effect</t>
        </is>
      </c>
      <c r="H544" s="2" t="inlineStr">
        <is>
          <t>Orcust</t>
        </is>
      </c>
      <c r="I544" s="2" t="inlineStr">
        <is>
          <t>2026-04-26</t>
        </is>
      </c>
      <c r="J544" s="2" t="inlineStr">
        <is>
          <t>/assets/cards/Galatea-2_the_Orcust_Divider_1.png</t>
        </is>
      </c>
      <c r="K544" s="2" t="inlineStr">
        <is>
          <t>No</t>
        </is>
      </c>
      <c r="L544" s="2" t="inlineStr">
        <is>
          <t>No</t>
        </is>
      </c>
      <c r="M544" s="2" t="inlineStr">
        <is>
          <t>No</t>
        </is>
      </c>
      <c r="N544" s="2">
        <f>IF(AND($K544="Yes",$L544="Yes",$M544="Yes"),"Yes","No")</f>
        <v/>
      </c>
      <c r="O544" s="2" t="inlineStr"/>
    </row>
    <row r="545">
      <c r="A545" s="2" t="inlineStr">
        <is>
          <t>CARD-00534</t>
        </is>
      </c>
      <c r="B545" s="2" t="inlineStr">
        <is>
          <t>Charmelia Kiana</t>
        </is>
      </c>
      <c r="C545" s="2" t="inlineStr">
        <is>
          <t>UPST</t>
        </is>
      </c>
      <c r="D545" s="2" t="inlineStr">
        <is>
          <t>076</t>
        </is>
      </c>
      <c r="E545" s="2" t="inlineStr">
        <is>
          <t>Upcoming Set</t>
        </is>
      </c>
      <c r="F545" s="2" t="inlineStr">
        <is>
          <t>Monster</t>
        </is>
      </c>
      <c r="G545" s="2" t="inlineStr">
        <is>
          <t>Spellcaster / Effect</t>
        </is>
      </c>
      <c r="H545" s="2" t="inlineStr">
        <is>
          <t>Charmelia</t>
        </is>
      </c>
      <c r="I545" s="2" t="inlineStr">
        <is>
          <t>2026-04-26</t>
        </is>
      </c>
      <c r="J545" s="2" t="inlineStr">
        <is>
          <t>/assets/cards/Charmelia_Kiana.png</t>
        </is>
      </c>
      <c r="K545" s="2" t="inlineStr">
        <is>
          <t>No</t>
        </is>
      </c>
      <c r="L545" s="2" t="inlineStr">
        <is>
          <t>No</t>
        </is>
      </c>
      <c r="M545" s="2" t="inlineStr">
        <is>
          <t>No</t>
        </is>
      </c>
      <c r="N545" s="2">
        <f>IF(AND($K545="Yes",$L545="Yes",$M545="Yes"),"Yes","No")</f>
        <v/>
      </c>
      <c r="O545" s="2" t="inlineStr"/>
    </row>
    <row r="546">
      <c r="A546" s="2" t="inlineStr">
        <is>
          <t>CARD-00535</t>
        </is>
      </c>
      <c r="B546" s="2" t="inlineStr">
        <is>
          <t>Charmelia Hanabi</t>
        </is>
      </c>
      <c r="C546" s="2" t="inlineStr">
        <is>
          <t>UPST</t>
        </is>
      </c>
      <c r="D546" s="2" t="inlineStr">
        <is>
          <t>077</t>
        </is>
      </c>
      <c r="E546" s="2" t="inlineStr">
        <is>
          <t>Upcoming Set</t>
        </is>
      </c>
      <c r="F546" s="2" t="inlineStr">
        <is>
          <t>Monster</t>
        </is>
      </c>
      <c r="G546" s="2" t="inlineStr">
        <is>
          <t>Spellcaster / Effect</t>
        </is>
      </c>
      <c r="H546" s="2" t="inlineStr">
        <is>
          <t>Charmelia</t>
        </is>
      </c>
      <c r="I546" s="2" t="inlineStr">
        <is>
          <t>2026-04-26</t>
        </is>
      </c>
      <c r="J546" s="2" t="inlineStr">
        <is>
          <t>/assets/cards/Charmelia_Hanabi.png</t>
        </is>
      </c>
      <c r="K546" s="2" t="inlineStr">
        <is>
          <t>No</t>
        </is>
      </c>
      <c r="L546" s="2" t="inlineStr">
        <is>
          <t>No</t>
        </is>
      </c>
      <c r="M546" s="2" t="inlineStr">
        <is>
          <t>No</t>
        </is>
      </c>
      <c r="N546" s="2">
        <f>IF(AND($K546="Yes",$L546="Yes",$M546="Yes"),"Yes","No")</f>
        <v/>
      </c>
      <c r="O546" s="2" t="inlineStr"/>
    </row>
    <row r="547">
      <c r="A547" s="2" t="inlineStr">
        <is>
          <t>CARD-00536</t>
        </is>
      </c>
      <c r="B547" s="2" t="inlineStr">
        <is>
          <t>Charmelia Elysia</t>
        </is>
      </c>
      <c r="C547" s="2" t="inlineStr">
        <is>
          <t>UPST</t>
        </is>
      </c>
      <c r="D547" s="2" t="inlineStr">
        <is>
          <t>078</t>
        </is>
      </c>
      <c r="E547" s="2" t="inlineStr">
        <is>
          <t>Upcoming Set</t>
        </is>
      </c>
      <c r="F547" s="2" t="inlineStr">
        <is>
          <t>Monster</t>
        </is>
      </c>
      <c r="G547" s="2" t="inlineStr">
        <is>
          <t>Spellcaster / Effect</t>
        </is>
      </c>
      <c r="H547" s="2" t="inlineStr">
        <is>
          <t>Charmelia</t>
        </is>
      </c>
      <c r="I547" s="2" t="inlineStr">
        <is>
          <t>2026-04-26</t>
        </is>
      </c>
      <c r="J547" s="2" t="inlineStr">
        <is>
          <t>/assets/cards/Charmelia_Elysia.png</t>
        </is>
      </c>
      <c r="K547" s="2" t="inlineStr">
        <is>
          <t>No</t>
        </is>
      </c>
      <c r="L547" s="2" t="inlineStr">
        <is>
          <t>No</t>
        </is>
      </c>
      <c r="M547" s="2" t="inlineStr">
        <is>
          <t>No</t>
        </is>
      </c>
      <c r="N547" s="2">
        <f>IF(AND($K547="Yes",$L547="Yes",$M547="Yes"),"Yes","No")</f>
        <v/>
      </c>
      <c r="O547" s="2" t="inlineStr"/>
    </row>
    <row r="548">
      <c r="A548" s="2" t="inlineStr">
        <is>
          <t>CARD-00537</t>
        </is>
      </c>
      <c r="B548" s="2" t="inlineStr">
        <is>
          <t>Charmelia Robin</t>
        </is>
      </c>
      <c r="C548" s="2" t="inlineStr">
        <is>
          <t>UPST</t>
        </is>
      </c>
      <c r="D548" s="2" t="inlineStr">
        <is>
          <t>079</t>
        </is>
      </c>
      <c r="E548" s="2" t="inlineStr">
        <is>
          <t>Upcoming Set</t>
        </is>
      </c>
      <c r="F548" s="2" t="inlineStr">
        <is>
          <t>Monster</t>
        </is>
      </c>
      <c r="G548" s="2" t="inlineStr">
        <is>
          <t>Spellcaster / Effect</t>
        </is>
      </c>
      <c r="H548" s="2" t="inlineStr">
        <is>
          <t>Charmelia</t>
        </is>
      </c>
      <c r="I548" s="2" t="inlineStr">
        <is>
          <t>2026-04-26</t>
        </is>
      </c>
      <c r="J548" s="2" t="inlineStr">
        <is>
          <t>/assets/cards/Charmelia_Robin.png</t>
        </is>
      </c>
      <c r="K548" s="2" t="inlineStr">
        <is>
          <t>No</t>
        </is>
      </c>
      <c r="L548" s="2" t="inlineStr">
        <is>
          <t>No</t>
        </is>
      </c>
      <c r="M548" s="2" t="inlineStr">
        <is>
          <t>No</t>
        </is>
      </c>
      <c r="N548" s="2">
        <f>IF(AND($K548="Yes",$L548="Yes",$M548="Yes"),"Yes","No")</f>
        <v/>
      </c>
      <c r="O548" s="2" t="inlineStr"/>
    </row>
    <row r="549">
      <c r="A549" s="2" t="inlineStr">
        <is>
          <t>CARD-00538</t>
        </is>
      </c>
      <c r="B549" s="2" t="inlineStr">
        <is>
          <t>Charmelia Pray</t>
        </is>
      </c>
      <c r="C549" s="2" t="inlineStr">
        <is>
          <t>UPST</t>
        </is>
      </c>
      <c r="D549" s="2" t="inlineStr">
        <is>
          <t>080</t>
        </is>
      </c>
      <c r="E549" s="2" t="inlineStr">
        <is>
          <t>Upcoming Set</t>
        </is>
      </c>
      <c r="F549" s="2" t="inlineStr">
        <is>
          <t>Spell</t>
        </is>
      </c>
      <c r="G549" s="2" t="inlineStr">
        <is>
          <t>Spell / Continuous</t>
        </is>
      </c>
      <c r="H549" s="2" t="inlineStr">
        <is>
          <t>Charmelia</t>
        </is>
      </c>
      <c r="I549" s="2" t="inlineStr">
        <is>
          <t>2026-04-26</t>
        </is>
      </c>
      <c r="J549" s="2" t="inlineStr">
        <is>
          <t>/assets/cards/Charmelia_Pray.png</t>
        </is>
      </c>
      <c r="K549" s="2" t="inlineStr">
        <is>
          <t>No</t>
        </is>
      </c>
      <c r="L549" s="2" t="inlineStr">
        <is>
          <t>No</t>
        </is>
      </c>
      <c r="M549" s="2" t="inlineStr">
        <is>
          <t>No</t>
        </is>
      </c>
      <c r="N549" s="2">
        <f>IF(AND($K549="Yes",$L549="Yes",$M549="Yes"),"Yes","No")</f>
        <v/>
      </c>
      <c r="O549" s="2" t="inlineStr"/>
    </row>
    <row r="550">
      <c r="A550" s="2" t="inlineStr">
        <is>
          <t>CARD-00539</t>
        </is>
      </c>
      <c r="B550" s="2" t="inlineStr">
        <is>
          <t>Charmelia Deal</t>
        </is>
      </c>
      <c r="C550" s="2" t="inlineStr">
        <is>
          <t>UPST</t>
        </is>
      </c>
      <c r="D550" s="2" t="inlineStr">
        <is>
          <t>081</t>
        </is>
      </c>
      <c r="E550" s="2" t="inlineStr">
        <is>
          <t>Upcoming Set</t>
        </is>
      </c>
      <c r="F550" s="2" t="inlineStr">
        <is>
          <t>Spell</t>
        </is>
      </c>
      <c r="G550" s="2" t="inlineStr">
        <is>
          <t>Spell / Continuous</t>
        </is>
      </c>
      <c r="H550" s="2" t="inlineStr">
        <is>
          <t>Charmelia</t>
        </is>
      </c>
      <c r="I550" s="2" t="inlineStr">
        <is>
          <t>2026-04-26</t>
        </is>
      </c>
      <c r="J550" s="2" t="inlineStr">
        <is>
          <t>/assets/cards/Charmelia_Deal_1.png</t>
        </is>
      </c>
      <c r="K550" s="2" t="inlineStr">
        <is>
          <t>No</t>
        </is>
      </c>
      <c r="L550" s="2" t="inlineStr">
        <is>
          <t>No</t>
        </is>
      </c>
      <c r="M550" s="2" t="inlineStr">
        <is>
          <t>No</t>
        </is>
      </c>
      <c r="N550" s="2">
        <f>IF(AND($K550="Yes",$L550="Yes",$M550="Yes"),"Yes","No")</f>
        <v/>
      </c>
      <c r="O550" s="2" t="inlineStr"/>
    </row>
    <row r="551">
      <c r="A551" s="2" t="inlineStr">
        <is>
          <t>CARD-00540</t>
        </is>
      </c>
      <c r="B551" s="2" t="inlineStr">
        <is>
          <t>Charmelia Beast</t>
        </is>
      </c>
      <c r="C551" s="2" t="inlineStr">
        <is>
          <t>UPST</t>
        </is>
      </c>
      <c r="D551" s="2" t="inlineStr">
        <is>
          <t>082</t>
        </is>
      </c>
      <c r="E551" s="2" t="inlineStr">
        <is>
          <t>Upcoming Set</t>
        </is>
      </c>
      <c r="F551" s="2" t="inlineStr">
        <is>
          <t>Trap</t>
        </is>
      </c>
      <c r="G551" s="2" t="inlineStr">
        <is>
          <t>Trap / Counter</t>
        </is>
      </c>
      <c r="H551" s="2" t="inlineStr">
        <is>
          <t>Charmelia</t>
        </is>
      </c>
      <c r="I551" s="2" t="inlineStr">
        <is>
          <t>2026-04-26</t>
        </is>
      </c>
      <c r="J551" s="2" t="inlineStr">
        <is>
          <t>/assets/cards/Charmelia_Beast.png</t>
        </is>
      </c>
      <c r="K551" s="2" t="inlineStr">
        <is>
          <t>No</t>
        </is>
      </c>
      <c r="L551" s="2" t="inlineStr">
        <is>
          <t>No</t>
        </is>
      </c>
      <c r="M551" s="2" t="inlineStr">
        <is>
          <t>No</t>
        </is>
      </c>
      <c r="N551" s="2">
        <f>IF(AND($K551="Yes",$L551="Yes",$M551="Yes"),"Yes","No")</f>
        <v/>
      </c>
      <c r="O551" s="2" t="inlineStr"/>
    </row>
    <row r="552">
      <c r="A552" s="2" t="inlineStr">
        <is>
          <t>CARD-00541</t>
        </is>
      </c>
      <c r="B552" s="2" t="inlineStr">
        <is>
          <t>Magical Girl Explosion</t>
        </is>
      </c>
      <c r="C552" s="2" t="inlineStr">
        <is>
          <t>UPST</t>
        </is>
      </c>
      <c r="D552" s="2" t="inlineStr">
        <is>
          <t>083</t>
        </is>
      </c>
      <c r="E552" s="2" t="inlineStr">
        <is>
          <t>Upcoming Set</t>
        </is>
      </c>
      <c r="F552" s="2" t="inlineStr">
        <is>
          <t>Trap</t>
        </is>
      </c>
      <c r="G552" s="2" t="inlineStr">
        <is>
          <t>Trap / Counter</t>
        </is>
      </c>
      <c r="H552" s="2" t="inlineStr">
        <is>
          <t>Magical Girl Explosion!</t>
        </is>
      </c>
      <c r="I552" s="2" t="inlineStr">
        <is>
          <t>2026-04-26</t>
        </is>
      </c>
      <c r="J552" s="2" t="inlineStr">
        <is>
          <t>/assets/cards/Magical_Girl_Explosion.png</t>
        </is>
      </c>
      <c r="K552" s="2" t="inlineStr">
        <is>
          <t>No</t>
        </is>
      </c>
      <c r="L552" s="2" t="inlineStr">
        <is>
          <t>No</t>
        </is>
      </c>
      <c r="M552" s="2" t="inlineStr">
        <is>
          <t>No</t>
        </is>
      </c>
      <c r="N552" s="2">
        <f>IF(AND($K552="Yes",$L552="Yes",$M552="Yes"),"Yes","No")</f>
        <v/>
      </c>
      <c r="O552" s="2" t="inlineStr"/>
    </row>
    <row r="553">
      <c r="A553" s="2" t="inlineStr">
        <is>
          <t>CARD-00542</t>
        </is>
      </c>
      <c r="B553" s="2" t="inlineStr">
        <is>
          <t>Charmelia Fairy Kyubey</t>
        </is>
      </c>
      <c r="C553" s="2" t="inlineStr">
        <is>
          <t>UPST</t>
        </is>
      </c>
      <c r="D553" s="2" t="inlineStr">
        <is>
          <t>084</t>
        </is>
      </c>
      <c r="E553" s="2" t="inlineStr">
        <is>
          <t>Upcoming Set</t>
        </is>
      </c>
      <c r="F553" s="2" t="inlineStr">
        <is>
          <t>Monster</t>
        </is>
      </c>
      <c r="G553" s="2" t="inlineStr">
        <is>
          <t>Fairy / Ritual / Effect</t>
        </is>
      </c>
      <c r="H553" s="2" t="inlineStr">
        <is>
          <t>Charmelia</t>
        </is>
      </c>
      <c r="I553" s="2" t="inlineStr">
        <is>
          <t>2026-04-26</t>
        </is>
      </c>
      <c r="J553" s="2" t="inlineStr">
        <is>
          <t>/assets/cards/Charmelia_Fairy_Kyubey.png</t>
        </is>
      </c>
      <c r="K553" s="2" t="inlineStr">
        <is>
          <t>No</t>
        </is>
      </c>
      <c r="L553" s="2" t="inlineStr">
        <is>
          <t>No</t>
        </is>
      </c>
      <c r="M553" s="2" t="inlineStr">
        <is>
          <t>No</t>
        </is>
      </c>
      <c r="N553" s="2">
        <f>IF(AND($K553="Yes",$L553="Yes",$M553="Yes"),"Yes","No")</f>
        <v/>
      </c>
      <c r="O553" s="2" t="inlineStr"/>
    </row>
    <row r="554">
      <c r="A554" s="2" t="inlineStr">
        <is>
          <t>CARD-00543</t>
        </is>
      </c>
      <c r="B554" s="2" t="inlineStr">
        <is>
          <t>Charmelia Fairy Morningstar</t>
        </is>
      </c>
      <c r="C554" s="2" t="inlineStr">
        <is>
          <t>UPST</t>
        </is>
      </c>
      <c r="D554" s="2" t="inlineStr">
        <is>
          <t>085</t>
        </is>
      </c>
      <c r="E554" s="2" t="inlineStr">
        <is>
          <t>Upcoming Set</t>
        </is>
      </c>
      <c r="F554" s="2" t="inlineStr">
        <is>
          <t>Monster</t>
        </is>
      </c>
      <c r="G554" s="2" t="inlineStr">
        <is>
          <t>Fairy / Ritual / Effect</t>
        </is>
      </c>
      <c r="H554" s="2" t="inlineStr">
        <is>
          <t>Charmelia</t>
        </is>
      </c>
      <c r="I554" s="2" t="inlineStr">
        <is>
          <t>2026-04-26</t>
        </is>
      </c>
      <c r="J554" s="2" t="inlineStr">
        <is>
          <t>/assets/cards/Charmelia_Fairy_Morningstar.png</t>
        </is>
      </c>
      <c r="K554" s="2" t="inlineStr">
        <is>
          <t>No</t>
        </is>
      </c>
      <c r="L554" s="2" t="inlineStr">
        <is>
          <t>No</t>
        </is>
      </c>
      <c r="M554" s="2" t="inlineStr">
        <is>
          <t>No</t>
        </is>
      </c>
      <c r="N554" s="2">
        <f>IF(AND($K554="Yes",$L554="Yes",$M554="Yes"),"Yes","No")</f>
        <v/>
      </c>
      <c r="O554" s="2" t="inlineStr"/>
    </row>
    <row r="555">
      <c r="A555" s="2" t="inlineStr">
        <is>
          <t>CARD-00544</t>
        </is>
      </c>
      <c r="B555" s="2" t="inlineStr">
        <is>
          <t>Wyvernal Luna</t>
        </is>
      </c>
      <c r="C555" s="2" t="inlineStr">
        <is>
          <t>UPST</t>
        </is>
      </c>
      <c r="D555" s="2" t="inlineStr">
        <is>
          <t>086</t>
        </is>
      </c>
      <c r="E555" s="2" t="inlineStr">
        <is>
          <t>Upcoming Set</t>
        </is>
      </c>
      <c r="F555" s="2" t="inlineStr">
        <is>
          <t>Monster</t>
        </is>
      </c>
      <c r="G555" s="2" t="inlineStr">
        <is>
          <t>Insect / Effect</t>
        </is>
      </c>
      <c r="H555" s="2" t="inlineStr">
        <is>
          <t>Wyvernal</t>
        </is>
      </c>
      <c r="I555" s="2" t="inlineStr">
        <is>
          <t>2026-04-26</t>
        </is>
      </c>
      <c r="J555" s="2" t="inlineStr">
        <is>
          <t>/assets/cards/Wyvernal_Luna.png</t>
        </is>
      </c>
      <c r="K555" s="2" t="inlineStr">
        <is>
          <t>No</t>
        </is>
      </c>
      <c r="L555" s="2" t="inlineStr">
        <is>
          <t>No</t>
        </is>
      </c>
      <c r="M555" s="2" t="inlineStr">
        <is>
          <t>No</t>
        </is>
      </c>
      <c r="N555" s="2">
        <f>IF(AND($K555="Yes",$L555="Yes",$M555="Yes"),"Yes","No")</f>
        <v/>
      </c>
      <c r="O555" s="2" t="inlineStr"/>
    </row>
    <row r="556">
      <c r="A556" s="2" t="inlineStr">
        <is>
          <t>CARD-00545</t>
        </is>
      </c>
      <c r="B556" s="2" t="inlineStr">
        <is>
          <t>Wyvernal Caudina</t>
        </is>
      </c>
      <c r="C556" s="2" t="inlineStr">
        <is>
          <t>UPST</t>
        </is>
      </c>
      <c r="D556" s="2" t="inlineStr">
        <is>
          <t>087</t>
        </is>
      </c>
      <c r="E556" s="2" t="inlineStr">
        <is>
          <t>Upcoming Set</t>
        </is>
      </c>
      <c r="F556" s="2" t="inlineStr">
        <is>
          <t>Monster</t>
        </is>
      </c>
      <c r="G556" s="2" t="inlineStr">
        <is>
          <t>Insect / Effect</t>
        </is>
      </c>
      <c r="H556" s="2" t="inlineStr">
        <is>
          <t>Wyvernal</t>
        </is>
      </c>
      <c r="I556" s="2" t="inlineStr">
        <is>
          <t>2026-04-26</t>
        </is>
      </c>
      <c r="J556" s="2" t="inlineStr">
        <is>
          <t>/assets/cards/Wyvernal_Caudina.png</t>
        </is>
      </c>
      <c r="K556" s="2" t="inlineStr">
        <is>
          <t>No</t>
        </is>
      </c>
      <c r="L556" s="2" t="inlineStr">
        <is>
          <t>No</t>
        </is>
      </c>
      <c r="M556" s="2" t="inlineStr">
        <is>
          <t>No</t>
        </is>
      </c>
      <c r="N556" s="2">
        <f>IF(AND($K556="Yes",$L556="Yes",$M556="Yes"),"Yes","No")</f>
        <v/>
      </c>
      <c r="O556" s="2" t="inlineStr"/>
    </row>
    <row r="557">
      <c r="A557" s="2" t="inlineStr">
        <is>
          <t>CARD-00546</t>
        </is>
      </c>
      <c r="B557" s="2" t="inlineStr">
        <is>
          <t>Wyvernal Myops</t>
        </is>
      </c>
      <c r="C557" s="2" t="inlineStr">
        <is>
          <t>UPST</t>
        </is>
      </c>
      <c r="D557" s="2" t="inlineStr">
        <is>
          <t>088</t>
        </is>
      </c>
      <c r="E557" s="2" t="inlineStr">
        <is>
          <t>Upcoming Set</t>
        </is>
      </c>
      <c r="F557" s="2" t="inlineStr">
        <is>
          <t>Monster</t>
        </is>
      </c>
      <c r="G557" s="2" t="inlineStr">
        <is>
          <t>Insect / Effect</t>
        </is>
      </c>
      <c r="H557" s="2" t="inlineStr">
        <is>
          <t>Wyvernal</t>
        </is>
      </c>
      <c r="I557" s="2" t="inlineStr">
        <is>
          <t>2026-04-26</t>
        </is>
      </c>
      <c r="J557" s="2" t="inlineStr">
        <is>
          <t>/assets/cards/Wyvernal_Myops.png</t>
        </is>
      </c>
      <c r="K557" s="2" t="inlineStr">
        <is>
          <t>No</t>
        </is>
      </c>
      <c r="L557" s="2" t="inlineStr">
        <is>
          <t>No</t>
        </is>
      </c>
      <c r="M557" s="2" t="inlineStr">
        <is>
          <t>No</t>
        </is>
      </c>
      <c r="N557" s="2">
        <f>IF(AND($K557="Yes",$L557="Yes",$M557="Yes"),"Yes","No")</f>
        <v/>
      </c>
      <c r="O557" s="2" t="inlineStr"/>
    </row>
    <row r="558">
      <c r="A558" s="2" t="inlineStr">
        <is>
          <t>CARD-00547</t>
        </is>
      </c>
      <c r="B558" s="2" t="inlineStr">
        <is>
          <t>Wyvernal Crenata</t>
        </is>
      </c>
      <c r="C558" s="2" t="inlineStr">
        <is>
          <t>UPST</t>
        </is>
      </c>
      <c r="D558" s="2" t="inlineStr">
        <is>
          <t>089</t>
        </is>
      </c>
      <c r="E558" s="2" t="inlineStr">
        <is>
          <t>Upcoming Set</t>
        </is>
      </c>
      <c r="F558" s="2" t="inlineStr">
        <is>
          <t>Monster</t>
        </is>
      </c>
      <c r="G558" s="2" t="inlineStr">
        <is>
          <t>Insect / Effect</t>
        </is>
      </c>
      <c r="H558" s="2" t="inlineStr">
        <is>
          <t>Wyvernal</t>
        </is>
      </c>
      <c r="I558" s="2" t="inlineStr">
        <is>
          <t>2026-04-26</t>
        </is>
      </c>
      <c r="J558" s="2" t="inlineStr">
        <is>
          <t>/assets/cards/Wyvernal_Crenata.png</t>
        </is>
      </c>
      <c r="K558" s="2" t="inlineStr">
        <is>
          <t>No</t>
        </is>
      </c>
      <c r="L558" s="2" t="inlineStr">
        <is>
          <t>No</t>
        </is>
      </c>
      <c r="M558" s="2" t="inlineStr">
        <is>
          <t>No</t>
        </is>
      </c>
      <c r="N558" s="2">
        <f>IF(AND($K558="Yes",$L558="Yes",$M558="Yes"),"Yes","No")</f>
        <v/>
      </c>
      <c r="O558" s="2" t="inlineStr"/>
    </row>
    <row r="559">
      <c r="A559" s="2" t="inlineStr">
        <is>
          <t>CARD-00548</t>
        </is>
      </c>
      <c r="B559" s="2" t="inlineStr">
        <is>
          <t>Wyvernal Sphinx</t>
        </is>
      </c>
      <c r="C559" s="2" t="inlineStr">
        <is>
          <t>UPST</t>
        </is>
      </c>
      <c r="D559" s="2" t="inlineStr">
        <is>
          <t>090</t>
        </is>
      </c>
      <c r="E559" s="2" t="inlineStr">
        <is>
          <t>Upcoming Set</t>
        </is>
      </c>
      <c r="F559" s="2" t="inlineStr">
        <is>
          <t>Monster</t>
        </is>
      </c>
      <c r="G559" s="2" t="inlineStr">
        <is>
          <t>Insect / Effect</t>
        </is>
      </c>
      <c r="H559" s="2" t="inlineStr">
        <is>
          <t>Wyvernal</t>
        </is>
      </c>
      <c r="I559" s="2" t="inlineStr">
        <is>
          <t>2026-04-26</t>
        </is>
      </c>
      <c r="J559" s="2" t="inlineStr">
        <is>
          <t>/assets/cards/Wyvernal_Sphinx_1.png</t>
        </is>
      </c>
      <c r="K559" s="2" t="inlineStr">
        <is>
          <t>No</t>
        </is>
      </c>
      <c r="L559" s="2" t="inlineStr">
        <is>
          <t>No</t>
        </is>
      </c>
      <c r="M559" s="2" t="inlineStr">
        <is>
          <t>No</t>
        </is>
      </c>
      <c r="N559" s="2">
        <f>IF(AND($K559="Yes",$L559="Yes",$M559="Yes"),"Yes","No")</f>
        <v/>
      </c>
      <c r="O559" s="2" t="inlineStr"/>
    </row>
    <row r="560">
      <c r="A560" s="2" t="inlineStr">
        <is>
          <t>CARD-00549</t>
        </is>
      </c>
      <c r="B560" s="2" t="inlineStr">
        <is>
          <t>Wyvernal Lymantria</t>
        </is>
      </c>
      <c r="C560" s="2" t="inlineStr">
        <is>
          <t>UPST</t>
        </is>
      </c>
      <c r="D560" s="2" t="inlineStr">
        <is>
          <t>091</t>
        </is>
      </c>
      <c r="E560" s="2" t="inlineStr">
        <is>
          <t>Upcoming Set</t>
        </is>
      </c>
      <c r="F560" s="2" t="inlineStr">
        <is>
          <t>Monster</t>
        </is>
      </c>
      <c r="G560" s="2" t="inlineStr">
        <is>
          <t>Dragon / Fusion / Effect</t>
        </is>
      </c>
      <c r="H560" s="2" t="inlineStr">
        <is>
          <t>Wyvernal</t>
        </is>
      </c>
      <c r="I560" s="2" t="inlineStr">
        <is>
          <t>2026-04-26</t>
        </is>
      </c>
      <c r="J560" s="2" t="inlineStr">
        <is>
          <t>/assets/cards/Wyvernal_Lymantria_1.png</t>
        </is>
      </c>
      <c r="K560" s="2" t="inlineStr">
        <is>
          <t>No</t>
        </is>
      </c>
      <c r="L560" s="2" t="inlineStr">
        <is>
          <t>No</t>
        </is>
      </c>
      <c r="M560" s="2" t="inlineStr">
        <is>
          <t>No</t>
        </is>
      </c>
      <c r="N560" s="2">
        <f>IF(AND($K560="Yes",$L560="Yes",$M560="Yes"),"Yes","No")</f>
        <v/>
      </c>
      <c r="O560" s="2" t="inlineStr"/>
    </row>
    <row r="561">
      <c r="A561" s="2" t="inlineStr">
        <is>
          <t>CARD-00550</t>
        </is>
      </c>
      <c r="B561" s="2" t="inlineStr">
        <is>
          <t>Wyvernal Megalopyge</t>
        </is>
      </c>
      <c r="C561" s="2" t="inlineStr">
        <is>
          <t>UPST</t>
        </is>
      </c>
      <c r="D561" s="2" t="inlineStr">
        <is>
          <t>092</t>
        </is>
      </c>
      <c r="E561" s="2" t="inlineStr">
        <is>
          <t>Upcoming Set</t>
        </is>
      </c>
      <c r="F561" s="2" t="inlineStr">
        <is>
          <t>Monster</t>
        </is>
      </c>
      <c r="G561" s="2" t="inlineStr">
        <is>
          <t>Dragon / Fusion / Effect</t>
        </is>
      </c>
      <c r="H561" s="2" t="inlineStr">
        <is>
          <t>Wyvernal</t>
        </is>
      </c>
      <c r="I561" s="2" t="inlineStr">
        <is>
          <t>2026-04-26</t>
        </is>
      </c>
      <c r="J561" s="2" t="inlineStr">
        <is>
          <t>/assets/cards/Wyvernal_Megalopyge.png</t>
        </is>
      </c>
      <c r="K561" s="2" t="inlineStr">
        <is>
          <t>No</t>
        </is>
      </c>
      <c r="L561" s="2" t="inlineStr">
        <is>
          <t>No</t>
        </is>
      </c>
      <c r="M561" s="2" t="inlineStr">
        <is>
          <t>No</t>
        </is>
      </c>
      <c r="N561" s="2">
        <f>IF(AND($K561="Yes",$L561="Yes",$M561="Yes"),"Yes","No")</f>
        <v/>
      </c>
      <c r="O561" s="2" t="inlineStr"/>
    </row>
    <row r="562">
      <c r="A562" s="2" t="inlineStr">
        <is>
          <t>CARD-00551</t>
        </is>
      </c>
      <c r="B562" s="2" t="inlineStr">
        <is>
          <t>Wyvernal Sanctuary</t>
        </is>
      </c>
      <c r="C562" s="2" t="inlineStr">
        <is>
          <t>UPST</t>
        </is>
      </c>
      <c r="D562" s="2" t="inlineStr">
        <is>
          <t>093</t>
        </is>
      </c>
      <c r="E562" s="2" t="inlineStr">
        <is>
          <t>Upcoming Set</t>
        </is>
      </c>
      <c r="F562" s="2" t="inlineStr">
        <is>
          <t>Spell</t>
        </is>
      </c>
      <c r="G562" s="2" t="inlineStr">
        <is>
          <t>Spell / Continuous</t>
        </is>
      </c>
      <c r="H562" s="2" t="inlineStr">
        <is>
          <t>Wyvernal</t>
        </is>
      </c>
      <c r="I562" s="2" t="inlineStr">
        <is>
          <t>2026-04-26</t>
        </is>
      </c>
      <c r="J562" s="2" t="inlineStr">
        <is>
          <t>/assets/cards/Wyvernal_Sanctuary.png</t>
        </is>
      </c>
      <c r="K562" s="2" t="inlineStr">
        <is>
          <t>No</t>
        </is>
      </c>
      <c r="L562" s="2" t="inlineStr">
        <is>
          <t>No</t>
        </is>
      </c>
      <c r="M562" s="2" t="inlineStr">
        <is>
          <t>No</t>
        </is>
      </c>
      <c r="N562" s="2">
        <f>IF(AND($K562="Yes",$L562="Yes",$M562="Yes"),"Yes","No")</f>
        <v/>
      </c>
      <c r="O562" s="2" t="inlineStr"/>
    </row>
    <row r="563">
      <c r="A563" s="2" t="inlineStr">
        <is>
          <t>CARD-00552</t>
        </is>
      </c>
      <c r="B563" s="2" t="inlineStr">
        <is>
          <t>Wyvernal Gathering</t>
        </is>
      </c>
      <c r="C563" s="2" t="inlineStr">
        <is>
          <t>UPST</t>
        </is>
      </c>
      <c r="D563" s="2" t="inlineStr">
        <is>
          <t>094</t>
        </is>
      </c>
      <c r="E563" s="2" t="inlineStr">
        <is>
          <t>Upcoming Set</t>
        </is>
      </c>
      <c r="F563" s="2" t="inlineStr">
        <is>
          <t>Spell</t>
        </is>
      </c>
      <c r="G563" s="2" t="inlineStr">
        <is>
          <t>Spell / Normal</t>
        </is>
      </c>
      <c r="H563" s="2" t="inlineStr">
        <is>
          <t>Wyvernal</t>
        </is>
      </c>
      <c r="I563" s="2" t="inlineStr">
        <is>
          <t>2026-04-26</t>
        </is>
      </c>
      <c r="J563" s="2" t="inlineStr">
        <is>
          <t>/assets/cards/Wyvernal_Gathering.png</t>
        </is>
      </c>
      <c r="K563" s="2" t="inlineStr">
        <is>
          <t>No</t>
        </is>
      </c>
      <c r="L563" s="2" t="inlineStr">
        <is>
          <t>No</t>
        </is>
      </c>
      <c r="M563" s="2" t="inlineStr">
        <is>
          <t>No</t>
        </is>
      </c>
      <c r="N563" s="2">
        <f>IF(AND($K563="Yes",$L563="Yes",$M563="Yes"),"Yes","No")</f>
        <v/>
      </c>
      <c r="O563" s="2" t="inlineStr"/>
    </row>
    <row r="564">
      <c r="A564" s="2" t="inlineStr">
        <is>
          <t>CARD-00553</t>
        </is>
      </c>
      <c r="B564" s="2" t="inlineStr">
        <is>
          <t>Eclipse Observer Aaliyah</t>
        </is>
      </c>
      <c r="C564" s="2" t="inlineStr">
        <is>
          <t>UPST</t>
        </is>
      </c>
      <c r="D564" s="2" t="inlineStr">
        <is>
          <t>095</t>
        </is>
      </c>
      <c r="E564" s="2" t="inlineStr">
        <is>
          <t>Upcoming Set</t>
        </is>
      </c>
      <c r="F564" s="2" t="inlineStr">
        <is>
          <t>Monster</t>
        </is>
      </c>
      <c r="G564" s="2" t="inlineStr">
        <is>
          <t>Spellcaster / Effect</t>
        </is>
      </c>
      <c r="H564" s="2" t="inlineStr">
        <is>
          <t>Eclipse</t>
        </is>
      </c>
      <c r="I564" s="2" t="inlineStr">
        <is>
          <t>2026-04-26</t>
        </is>
      </c>
      <c r="J564" s="2" t="inlineStr">
        <is>
          <t>/assets/cards/Eclipse_Observer_Aaliyah.png</t>
        </is>
      </c>
      <c r="K564" s="2" t="inlineStr">
        <is>
          <t>No</t>
        </is>
      </c>
      <c r="L564" s="2" t="inlineStr">
        <is>
          <t>No</t>
        </is>
      </c>
      <c r="M564" s="2" t="inlineStr">
        <is>
          <t>No</t>
        </is>
      </c>
      <c r="N564" s="2">
        <f>IF(AND($K564="Yes",$L564="Yes",$M564="Yes"),"Yes","No")</f>
        <v/>
      </c>
      <c r="O564" s="2" t="inlineStr"/>
    </row>
    <row r="565">
      <c r="A565" s="2" t="inlineStr">
        <is>
          <t>CARD-00554</t>
        </is>
      </c>
      <c r="B565" s="2" t="inlineStr">
        <is>
          <t>Eclipse Observer Riley</t>
        </is>
      </c>
      <c r="C565" s="2" t="inlineStr">
        <is>
          <t>UPST</t>
        </is>
      </c>
      <c r="D565" s="2" t="inlineStr">
        <is>
          <t>096</t>
        </is>
      </c>
      <c r="E565" s="2" t="inlineStr">
        <is>
          <t>Upcoming Set</t>
        </is>
      </c>
      <c r="F565" s="2" t="inlineStr">
        <is>
          <t>Monster</t>
        </is>
      </c>
      <c r="G565" s="2" t="inlineStr">
        <is>
          <t>Spellcaster / Effect</t>
        </is>
      </c>
      <c r="H565" s="2" t="inlineStr">
        <is>
          <t>Eclipse</t>
        </is>
      </c>
      <c r="I565" s="2" t="inlineStr">
        <is>
          <t>2026-04-26</t>
        </is>
      </c>
      <c r="J565" s="2" t="inlineStr">
        <is>
          <t>/assets/cards/Eclipse_Observer_Riley.png</t>
        </is>
      </c>
      <c r="K565" s="2" t="inlineStr">
        <is>
          <t>No</t>
        </is>
      </c>
      <c r="L565" s="2" t="inlineStr">
        <is>
          <t>No</t>
        </is>
      </c>
      <c r="M565" s="2" t="inlineStr">
        <is>
          <t>No</t>
        </is>
      </c>
      <c r="N565" s="2">
        <f>IF(AND($K565="Yes",$L565="Yes",$M565="Yes"),"Yes","No")</f>
        <v/>
      </c>
      <c r="O565" s="2" t="inlineStr"/>
    </row>
    <row r="566">
      <c r="A566" s="2" t="inlineStr">
        <is>
          <t>CARD-00555</t>
        </is>
      </c>
      <c r="B566" s="2" t="inlineStr">
        <is>
          <t>Eclipse Observer Nora</t>
        </is>
      </c>
      <c r="C566" s="2" t="inlineStr">
        <is>
          <t>UPST</t>
        </is>
      </c>
      <c r="D566" s="2" t="inlineStr">
        <is>
          <t>097</t>
        </is>
      </c>
      <c r="E566" s="2" t="inlineStr">
        <is>
          <t>Upcoming Set</t>
        </is>
      </c>
      <c r="F566" s="2" t="inlineStr">
        <is>
          <t>Monster</t>
        </is>
      </c>
      <c r="G566" s="2" t="inlineStr">
        <is>
          <t>Spellcaster / Effect</t>
        </is>
      </c>
      <c r="H566" s="2" t="inlineStr">
        <is>
          <t>Eclipse</t>
        </is>
      </c>
      <c r="I566" s="2" t="inlineStr">
        <is>
          <t>2026-04-26</t>
        </is>
      </c>
      <c r="J566" s="2" t="inlineStr">
        <is>
          <t>/assets/cards/Eclipse_Observer_Nora.png</t>
        </is>
      </c>
      <c r="K566" s="2" t="inlineStr">
        <is>
          <t>No</t>
        </is>
      </c>
      <c r="L566" s="2" t="inlineStr">
        <is>
          <t>No</t>
        </is>
      </c>
      <c r="M566" s="2" t="inlineStr">
        <is>
          <t>No</t>
        </is>
      </c>
      <c r="N566" s="2">
        <f>IF(AND($K566="Yes",$L566="Yes",$M566="Yes"),"Yes","No")</f>
        <v/>
      </c>
      <c r="O566" s="2" t="inlineStr"/>
    </row>
    <row r="567">
      <c r="A567" s="2" t="inlineStr">
        <is>
          <t>CARD-00556</t>
        </is>
      </c>
      <c r="B567" s="2" t="inlineStr">
        <is>
          <t>Eclipse Observer Ella</t>
        </is>
      </c>
      <c r="C567" s="2" t="inlineStr">
        <is>
          <t>UPST</t>
        </is>
      </c>
      <c r="D567" s="2" t="inlineStr">
        <is>
          <t>098</t>
        </is>
      </c>
      <c r="E567" s="2" t="inlineStr">
        <is>
          <t>Upcoming Set</t>
        </is>
      </c>
      <c r="F567" s="2" t="inlineStr">
        <is>
          <t>Monster</t>
        </is>
      </c>
      <c r="G567" s="2" t="inlineStr">
        <is>
          <t>Spellcaster / Effect</t>
        </is>
      </c>
      <c r="H567" s="2" t="inlineStr">
        <is>
          <t>Eclipse</t>
        </is>
      </c>
      <c r="I567" s="2" t="inlineStr">
        <is>
          <t>2026-04-26</t>
        </is>
      </c>
      <c r="J567" s="2" t="inlineStr">
        <is>
          <t>/assets/cards/Eclipse_Observer_Ella.png</t>
        </is>
      </c>
      <c r="K567" s="2" t="inlineStr">
        <is>
          <t>No</t>
        </is>
      </c>
      <c r="L567" s="2" t="inlineStr">
        <is>
          <t>No</t>
        </is>
      </c>
      <c r="M567" s="2" t="inlineStr">
        <is>
          <t>No</t>
        </is>
      </c>
      <c r="N567" s="2">
        <f>IF(AND($K567="Yes",$L567="Yes",$M567="Yes"),"Yes","No")</f>
        <v/>
      </c>
      <c r="O567" s="2" t="inlineStr"/>
    </row>
    <row r="568">
      <c r="A568" s="2" t="inlineStr">
        <is>
          <t>CARD-00557</t>
        </is>
      </c>
      <c r="B568" s="2" t="inlineStr">
        <is>
          <t>Eclipse Observer Maya</t>
        </is>
      </c>
      <c r="C568" s="2" t="inlineStr">
        <is>
          <t>UPST</t>
        </is>
      </c>
      <c r="D568" s="2" t="inlineStr">
        <is>
          <t>099</t>
        </is>
      </c>
      <c r="E568" s="2" t="inlineStr">
        <is>
          <t>Upcoming Set</t>
        </is>
      </c>
      <c r="F568" s="2" t="inlineStr">
        <is>
          <t>Monster</t>
        </is>
      </c>
      <c r="G568" s="2" t="inlineStr">
        <is>
          <t>Spellcaster / Effect</t>
        </is>
      </c>
      <c r="H568" s="2" t="inlineStr">
        <is>
          <t>Eclipse</t>
        </is>
      </c>
      <c r="I568" s="2" t="inlineStr">
        <is>
          <t>2026-04-26</t>
        </is>
      </c>
      <c r="J568" s="2" t="inlineStr">
        <is>
          <t>/assets/cards/Eclipse_Observer_Maya.png</t>
        </is>
      </c>
      <c r="K568" s="2" t="inlineStr">
        <is>
          <t>No</t>
        </is>
      </c>
      <c r="L568" s="2" t="inlineStr">
        <is>
          <t>No</t>
        </is>
      </c>
      <c r="M568" s="2" t="inlineStr">
        <is>
          <t>No</t>
        </is>
      </c>
      <c r="N568" s="2">
        <f>IF(AND($K568="Yes",$L568="Yes",$M568="Yes"),"Yes","No")</f>
        <v/>
      </c>
      <c r="O568" s="2" t="inlineStr"/>
    </row>
    <row r="569">
      <c r="A569" s="2" t="inlineStr">
        <is>
          <t>CARD-00558</t>
        </is>
      </c>
      <c r="B569" s="2" t="inlineStr">
        <is>
          <t>Eclipse Observatory</t>
        </is>
      </c>
      <c r="C569" s="2" t="inlineStr">
        <is>
          <t>UPST</t>
        </is>
      </c>
      <c r="D569" s="2" t="inlineStr">
        <is>
          <t>100</t>
        </is>
      </c>
      <c r="E569" s="2" t="inlineStr">
        <is>
          <t>Upcoming Set</t>
        </is>
      </c>
      <c r="F569" s="2" t="inlineStr">
        <is>
          <t>Spell</t>
        </is>
      </c>
      <c r="G569" s="2" t="inlineStr">
        <is>
          <t>Spell / Field</t>
        </is>
      </c>
      <c r="H569" s="2" t="inlineStr">
        <is>
          <t>Eclipse</t>
        </is>
      </c>
      <c r="I569" s="2" t="inlineStr">
        <is>
          <t>2026-04-26</t>
        </is>
      </c>
      <c r="J569" s="2" t="inlineStr">
        <is>
          <t>/assets/cards/Eclipse_Observatory.png</t>
        </is>
      </c>
      <c r="K569" s="2" t="inlineStr">
        <is>
          <t>No</t>
        </is>
      </c>
      <c r="L569" s="2" t="inlineStr">
        <is>
          <t>No</t>
        </is>
      </c>
      <c r="M569" s="2" t="inlineStr">
        <is>
          <t>No</t>
        </is>
      </c>
      <c r="N569" s="2">
        <f>IF(AND($K569="Yes",$L569="Yes",$M569="Yes"),"Yes","No")</f>
        <v/>
      </c>
      <c r="O569" s="2" t="inlineStr"/>
    </row>
    <row r="570">
      <c r="A570" s="2" t="inlineStr">
        <is>
          <t>CARD-00559</t>
        </is>
      </c>
      <c r="B570" s="2" t="inlineStr">
        <is>
          <t>Grimoire of Eclipse</t>
        </is>
      </c>
      <c r="C570" s="2" t="inlineStr">
        <is>
          <t>UPST</t>
        </is>
      </c>
      <c r="D570" s="2" t="inlineStr">
        <is>
          <t>101</t>
        </is>
      </c>
      <c r="E570" s="2" t="inlineStr">
        <is>
          <t>Upcoming Set</t>
        </is>
      </c>
      <c r="F570" s="2" t="inlineStr">
        <is>
          <t>Spell</t>
        </is>
      </c>
      <c r="G570" s="2" t="inlineStr">
        <is>
          <t>Spell / Quick-Play</t>
        </is>
      </c>
      <c r="H570" s="2" t="inlineStr">
        <is>
          <t>Eclipse</t>
        </is>
      </c>
      <c r="I570" s="2" t="inlineStr">
        <is>
          <t>2026-04-26</t>
        </is>
      </c>
      <c r="J570" s="2" t="inlineStr">
        <is>
          <t>/assets/cards/Grimoire_of_Eclipse.png</t>
        </is>
      </c>
      <c r="K570" s="2" t="inlineStr">
        <is>
          <t>No</t>
        </is>
      </c>
      <c r="L570" s="2" t="inlineStr">
        <is>
          <t>No</t>
        </is>
      </c>
      <c r="M570" s="2" t="inlineStr">
        <is>
          <t>No</t>
        </is>
      </c>
      <c r="N570" s="2">
        <f>IF(AND($K570="Yes",$L570="Yes",$M570="Yes"),"Yes","No")</f>
        <v/>
      </c>
      <c r="O570" s="2" t="inlineStr"/>
    </row>
    <row r="571">
      <c r="A571" s="2" t="inlineStr">
        <is>
          <t>CARD-00560</t>
        </is>
      </c>
      <c r="B571" s="2" t="inlineStr">
        <is>
          <t>Encyclopedia of Eclipse</t>
        </is>
      </c>
      <c r="C571" s="2" t="inlineStr">
        <is>
          <t>UPST</t>
        </is>
      </c>
      <c r="D571" s="2" t="inlineStr">
        <is>
          <t>102</t>
        </is>
      </c>
      <c r="E571" s="2" t="inlineStr">
        <is>
          <t>Upcoming Set</t>
        </is>
      </c>
      <c r="F571" s="2" t="inlineStr">
        <is>
          <t>Spell</t>
        </is>
      </c>
      <c r="G571" s="2" t="inlineStr">
        <is>
          <t>Spell / Quick-Play</t>
        </is>
      </c>
      <c r="H571" s="2" t="inlineStr">
        <is>
          <t>Eclipse</t>
        </is>
      </c>
      <c r="I571" s="2" t="inlineStr">
        <is>
          <t>2026-04-26</t>
        </is>
      </c>
      <c r="J571" s="2" t="inlineStr">
        <is>
          <t>/assets/cards/Encyclopedia_of_Eclipse.png</t>
        </is>
      </c>
      <c r="K571" s="2" t="inlineStr">
        <is>
          <t>No</t>
        </is>
      </c>
      <c r="L571" s="2" t="inlineStr">
        <is>
          <t>No</t>
        </is>
      </c>
      <c r="M571" s="2" t="inlineStr">
        <is>
          <t>No</t>
        </is>
      </c>
      <c r="N571" s="2">
        <f>IF(AND($K571="Yes",$L571="Yes",$M571="Yes"),"Yes","No")</f>
        <v/>
      </c>
      <c r="O571" s="2" t="inlineStr"/>
    </row>
    <row r="572">
      <c r="A572" s="2" t="inlineStr">
        <is>
          <t>CARD-00561</t>
        </is>
      </c>
      <c r="B572" s="2" t="inlineStr">
        <is>
          <t>Manual of Eclipse</t>
        </is>
      </c>
      <c r="C572" s="2" t="inlineStr">
        <is>
          <t>UPST</t>
        </is>
      </c>
      <c r="D572" s="2" t="inlineStr">
        <is>
          <t>103</t>
        </is>
      </c>
      <c r="E572" s="2" t="inlineStr">
        <is>
          <t>Upcoming Set</t>
        </is>
      </c>
      <c r="F572" s="2" t="inlineStr">
        <is>
          <t>Spell</t>
        </is>
      </c>
      <c r="G572" s="2" t="inlineStr">
        <is>
          <t>Spell / Quick-Play</t>
        </is>
      </c>
      <c r="H572" s="2" t="inlineStr">
        <is>
          <t>Eclipse</t>
        </is>
      </c>
      <c r="I572" s="2" t="inlineStr">
        <is>
          <t>2026-04-26</t>
        </is>
      </c>
      <c r="J572" s="2" t="inlineStr">
        <is>
          <t>/assets/cards/Manual_of_Eclipse.png</t>
        </is>
      </c>
      <c r="K572" s="2" t="inlineStr">
        <is>
          <t>No</t>
        </is>
      </c>
      <c r="L572" s="2" t="inlineStr">
        <is>
          <t>No</t>
        </is>
      </c>
      <c r="M572" s="2" t="inlineStr">
        <is>
          <t>No</t>
        </is>
      </c>
      <c r="N572" s="2">
        <f>IF(AND($K572="Yes",$L572="Yes",$M572="Yes"),"Yes","No")</f>
        <v/>
      </c>
      <c r="O572" s="2" t="inlineStr"/>
    </row>
    <row r="573">
      <c r="A573" s="2" t="inlineStr">
        <is>
          <t>CARD-00562</t>
        </is>
      </c>
      <c r="B573" s="2" t="inlineStr">
        <is>
          <t>Spellbook of Eclipse</t>
        </is>
      </c>
      <c r="C573" s="2" t="inlineStr">
        <is>
          <t>UPST</t>
        </is>
      </c>
      <c r="D573" s="2" t="inlineStr">
        <is>
          <t>104</t>
        </is>
      </c>
      <c r="E573" s="2" t="inlineStr">
        <is>
          <t>Upcoming Set</t>
        </is>
      </c>
      <c r="F573" s="2" t="inlineStr">
        <is>
          <t>Spell</t>
        </is>
      </c>
      <c r="G573" s="2" t="inlineStr">
        <is>
          <t>Spell / Quick-Play</t>
        </is>
      </c>
      <c r="H573" s="2" t="inlineStr">
        <is>
          <t>Eclipse</t>
        </is>
      </c>
      <c r="I573" s="2" t="inlineStr">
        <is>
          <t>2026-04-26</t>
        </is>
      </c>
      <c r="J573" s="2" t="inlineStr">
        <is>
          <t>/assets/cards/Spellbook_of_Eclipse.png</t>
        </is>
      </c>
      <c r="K573" s="2" t="inlineStr">
        <is>
          <t>No</t>
        </is>
      </c>
      <c r="L573" s="2" t="inlineStr">
        <is>
          <t>No</t>
        </is>
      </c>
      <c r="M573" s="2" t="inlineStr">
        <is>
          <t>No</t>
        </is>
      </c>
      <c r="N573" s="2">
        <f>IF(AND($K573="Yes",$L573="Yes",$M573="Yes"),"Yes","No")</f>
        <v/>
      </c>
      <c r="O573" s="2" t="inlineStr"/>
    </row>
    <row r="574">
      <c r="A574" s="2" t="inlineStr">
        <is>
          <t>CARD-00563</t>
        </is>
      </c>
      <c r="B574" s="2" t="inlineStr">
        <is>
          <t>Tome of Eclipse</t>
        </is>
      </c>
      <c r="C574" s="2" t="inlineStr">
        <is>
          <t>UPST</t>
        </is>
      </c>
      <c r="D574" s="2" t="inlineStr">
        <is>
          <t>105</t>
        </is>
      </c>
      <c r="E574" s="2" t="inlineStr">
        <is>
          <t>Upcoming Set</t>
        </is>
      </c>
      <c r="F574" s="2" t="inlineStr">
        <is>
          <t>Spell</t>
        </is>
      </c>
      <c r="G574" s="2" t="inlineStr">
        <is>
          <t>Spell / Quick-Play</t>
        </is>
      </c>
      <c r="H574" s="2" t="inlineStr">
        <is>
          <t>Eclipse</t>
        </is>
      </c>
      <c r="I574" s="2" t="inlineStr">
        <is>
          <t>2026-04-26</t>
        </is>
      </c>
      <c r="J574" s="2" t="inlineStr">
        <is>
          <t>/assets/cards/Tome_of_Eclipse.png</t>
        </is>
      </c>
      <c r="K574" s="2" t="inlineStr">
        <is>
          <t>No</t>
        </is>
      </c>
      <c r="L574" s="2" t="inlineStr">
        <is>
          <t>No</t>
        </is>
      </c>
      <c r="M574" s="2" t="inlineStr">
        <is>
          <t>No</t>
        </is>
      </c>
      <c r="N574" s="2">
        <f>IF(AND($K574="Yes",$L574="Yes",$M574="Yes"),"Yes","No")</f>
        <v/>
      </c>
      <c r="O574" s="2" t="inlineStr"/>
    </row>
    <row r="575">
      <c r="A575" s="2" t="inlineStr">
        <is>
          <t>CARD-00564</t>
        </is>
      </c>
      <c r="B575" s="2" t="inlineStr">
        <is>
          <t>Eclipse Observer Baleygr</t>
        </is>
      </c>
      <c r="C575" s="2" t="inlineStr">
        <is>
          <t>UPST</t>
        </is>
      </c>
      <c r="D575" s="2" t="inlineStr">
        <is>
          <t>106</t>
        </is>
      </c>
      <c r="E575" s="2" t="inlineStr">
        <is>
          <t>Upcoming Set</t>
        </is>
      </c>
      <c r="F575" s="2" t="inlineStr">
        <is>
          <t>Monster</t>
        </is>
      </c>
      <c r="G575" s="2" t="inlineStr">
        <is>
          <t>Spellcaster / Fusion / Effect</t>
        </is>
      </c>
      <c r="H575" s="2" t="inlineStr">
        <is>
          <t>Eclipse</t>
        </is>
      </c>
      <c r="I575" s="2" t="inlineStr">
        <is>
          <t>2026-04-26</t>
        </is>
      </c>
      <c r="J575" s="2" t="inlineStr">
        <is>
          <t>/assets/cards/Eclipse_Observer_Baleygr.png</t>
        </is>
      </c>
      <c r="K575" s="2" t="inlineStr">
        <is>
          <t>No</t>
        </is>
      </c>
      <c r="L575" s="2" t="inlineStr">
        <is>
          <t>No</t>
        </is>
      </c>
      <c r="M575" s="2" t="inlineStr">
        <is>
          <t>No</t>
        </is>
      </c>
      <c r="N575" s="2">
        <f>IF(AND($K575="Yes",$L575="Yes",$M575="Yes"),"Yes","No")</f>
        <v/>
      </c>
      <c r="O575" s="2" t="inlineStr"/>
    </row>
    <row r="576">
      <c r="A576" s="2" t="inlineStr">
        <is>
          <t>CARD-00565</t>
        </is>
      </c>
      <c r="B576" s="2" t="inlineStr">
        <is>
          <t>Eclipse Observer Chandra</t>
        </is>
      </c>
      <c r="C576" s="2" t="inlineStr">
        <is>
          <t>UPST</t>
        </is>
      </c>
      <c r="D576" s="2" t="inlineStr">
        <is>
          <t>107</t>
        </is>
      </c>
      <c r="E576" s="2" t="inlineStr">
        <is>
          <t>Upcoming Set</t>
        </is>
      </c>
      <c r="F576" s="2" t="inlineStr">
        <is>
          <t>Monster</t>
        </is>
      </c>
      <c r="G576" s="2" t="inlineStr">
        <is>
          <t>Spellcaster / Xyz / Effect</t>
        </is>
      </c>
      <c r="H576" s="2" t="inlineStr">
        <is>
          <t>Eclipse</t>
        </is>
      </c>
      <c r="I576" s="2" t="inlineStr">
        <is>
          <t>2026-04-26</t>
        </is>
      </c>
      <c r="J576" s="2" t="inlineStr">
        <is>
          <t>/assets/cards/Eclipse_Observer_Chandra.png</t>
        </is>
      </c>
      <c r="K576" s="2" t="inlineStr">
        <is>
          <t>No</t>
        </is>
      </c>
      <c r="L576" s="2" t="inlineStr">
        <is>
          <t>No</t>
        </is>
      </c>
      <c r="M576" s="2" t="inlineStr">
        <is>
          <t>No</t>
        </is>
      </c>
      <c r="N576" s="2">
        <f>IF(AND($K576="Yes",$L576="Yes",$M576="Yes"),"Yes","No")</f>
        <v/>
      </c>
      <c r="O576" s="2" t="inlineStr"/>
    </row>
    <row r="577">
      <c r="A577" s="2" t="inlineStr">
        <is>
          <t>CARD-00566</t>
        </is>
      </c>
      <c r="B577" s="2" t="inlineStr">
        <is>
          <t>Eclipse Observer Seara</t>
        </is>
      </c>
      <c r="C577" s="2" t="inlineStr">
        <is>
          <t>UPST</t>
        </is>
      </c>
      <c r="D577" s="2" t="inlineStr">
        <is>
          <t>108</t>
        </is>
      </c>
      <c r="E577" s="2" t="inlineStr">
        <is>
          <t>Upcoming Set</t>
        </is>
      </c>
      <c r="F577" s="2" t="inlineStr">
        <is>
          <t>Monster</t>
        </is>
      </c>
      <c r="G577" s="2" t="inlineStr">
        <is>
          <t>Spellcaster / Synchro / Effect</t>
        </is>
      </c>
      <c r="H577" s="2" t="inlineStr">
        <is>
          <t>Eclipse</t>
        </is>
      </c>
      <c r="I577" s="2" t="inlineStr">
        <is>
          <t>2026-04-26</t>
        </is>
      </c>
      <c r="J577" s="2" t="inlineStr">
        <is>
          <t>/assets/cards/Eclipse_Observer_Seara.png</t>
        </is>
      </c>
      <c r="K577" s="2" t="inlineStr">
        <is>
          <t>No</t>
        </is>
      </c>
      <c r="L577" s="2" t="inlineStr">
        <is>
          <t>No</t>
        </is>
      </c>
      <c r="M577" s="2" t="inlineStr">
        <is>
          <t>No</t>
        </is>
      </c>
      <c r="N577" s="2">
        <f>IF(AND($K577="Yes",$L577="Yes",$M577="Yes"),"Yes","No")</f>
        <v/>
      </c>
      <c r="O577" s="2" t="inlineStr"/>
    </row>
    <row r="578">
      <c r="A578" s="2" t="inlineStr">
        <is>
          <t>CARD-00567</t>
        </is>
      </c>
      <c r="B578" s="2" t="inlineStr">
        <is>
          <t>Ether Mademoiselle</t>
        </is>
      </c>
      <c r="C578" s="2" t="inlineStr">
        <is>
          <t>UPST</t>
        </is>
      </c>
      <c r="D578" s="2" t="inlineStr">
        <is>
          <t>109</t>
        </is>
      </c>
      <c r="E578" s="2" t="inlineStr">
        <is>
          <t>Upcoming Set</t>
        </is>
      </c>
      <c r="F578" s="2" t="inlineStr">
        <is>
          <t>Monster</t>
        </is>
      </c>
      <c r="G578" s="2" t="inlineStr">
        <is>
          <t>Spellcaster / Fusion / Effect</t>
        </is>
      </c>
      <c r="H578" s="2" t="inlineStr">
        <is>
          <t>Ether Mademoiselle</t>
        </is>
      </c>
      <c r="I578" s="2" t="inlineStr">
        <is>
          <t>2026-04-26</t>
        </is>
      </c>
      <c r="J578" s="2" t="inlineStr">
        <is>
          <t>/assets/cards/Ether_Mademoiselle.png</t>
        </is>
      </c>
      <c r="K578" s="2" t="inlineStr">
        <is>
          <t>No</t>
        </is>
      </c>
      <c r="L578" s="2" t="inlineStr">
        <is>
          <t>No</t>
        </is>
      </c>
      <c r="M578" s="2" t="inlineStr">
        <is>
          <t>No</t>
        </is>
      </c>
      <c r="N578" s="2">
        <f>IF(AND($K578="Yes",$L578="Yes",$M578="Yes"),"Yes","No")</f>
        <v/>
      </c>
      <c r="O578" s="2" t="inlineStr"/>
    </row>
  </sheetData>
  <autoFilter ref="A1:O578"/>
  <conditionalFormatting sqref="K2:K578">
    <cfRule type="expression" priority="1" dxfId="0">
      <formula>K2="Yes"</formula>
    </cfRule>
    <cfRule type="expression" priority="2" dxfId="1">
      <formula>K2="No"</formula>
    </cfRule>
  </conditionalFormatting>
  <conditionalFormatting sqref="L2:L578">
    <cfRule type="expression" priority="1" dxfId="0">
      <formula>K2="Yes"</formula>
    </cfRule>
    <cfRule type="expression" priority="2" dxfId="1">
      <formula>K2="No"</formula>
    </cfRule>
  </conditionalFormatting>
  <conditionalFormatting sqref="M2:M578">
    <cfRule type="expression" priority="1" dxfId="0">
      <formula>K2="Yes"</formula>
    </cfRule>
    <cfRule type="expression" priority="2" dxfId="1">
      <formula>K2="No"</formula>
    </cfRule>
  </conditionalFormatting>
  <conditionalFormatting sqref="N2:N578">
    <cfRule type="expression" priority="7" dxfId="0">
      <formula>N2="Yes"</formula>
    </cfRule>
    <cfRule type="expression" priority="8" dxfId="1">
      <formula>N2="No"</formula>
    </cfRule>
  </conditionalFormatting>
  <dataValidations count="1">
    <dataValidation sqref="K2:M578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YGO Omega Card Checklist</t>
        </is>
      </c>
    </row>
    <row r="2">
      <c r="A2" s="4" t="inlineStr">
        <is>
          <t>Generated from src/data/cards.json on 2026-04-26 02:38</t>
        </is>
      </c>
    </row>
    <row r="4">
      <c r="A4" s="5" t="inlineStr">
        <is>
          <t>Total Cards</t>
        </is>
      </c>
      <c r="B4" s="6">
        <f>COUNTA(Cards!$A:$A)-1</f>
        <v/>
      </c>
      <c r="C4" s="7">
        <f>IF($B$4=0,0,B4/$B$4)</f>
        <v/>
      </c>
    </row>
    <row r="5">
      <c r="A5" s="5" t="inlineStr">
        <is>
          <t>Coded</t>
        </is>
      </c>
      <c r="B5" s="6">
        <f>COUNTIF(Cards!$K:$K,"Yes")</f>
        <v/>
      </c>
      <c r="C5" s="7">
        <f>IF($B$4=0,0,B5/$B$4)</f>
        <v/>
      </c>
    </row>
    <row r="6">
      <c r="A6" s="5" t="inlineStr">
        <is>
          <t>Tested</t>
        </is>
      </c>
      <c r="B6" s="6">
        <f>COUNTIF(Cards!$L:$L,"Yes")</f>
        <v/>
      </c>
      <c r="C6" s="7">
        <f>IF($B$4=0,0,B6/$B$4)</f>
        <v/>
      </c>
    </row>
    <row r="7">
      <c r="A7" s="5" t="inlineStr">
        <is>
          <t>Confirmed</t>
        </is>
      </c>
      <c r="B7" s="6">
        <f>COUNTIF(Cards!$M:$M,"Yes")</f>
        <v/>
      </c>
      <c r="C7" s="7">
        <f>IF($B$4=0,0,B7/$B$4)</f>
        <v/>
      </c>
    </row>
    <row r="8">
      <c r="A8" s="5" t="inlineStr">
        <is>
          <t>Ready For Omega</t>
        </is>
      </c>
      <c r="B8" s="6">
        <f>COUNTIF(Cards!$N:$N,"Yes")</f>
        <v/>
      </c>
      <c r="C8" s="7">
        <f>IF($B$4=0,0,B8/$B$4)</f>
        <v/>
      </c>
    </row>
    <row r="11">
      <c r="A11" s="8" t="inlineStr">
        <is>
          <t>Set Code</t>
        </is>
      </c>
      <c r="B11" s="8" t="inlineStr">
        <is>
          <t>Set Name</t>
        </is>
      </c>
      <c r="C11" s="8" t="inlineStr">
        <is>
          <t>Total</t>
        </is>
      </c>
      <c r="D11" s="8" t="inlineStr">
        <is>
          <t>Coded</t>
        </is>
      </c>
      <c r="E11" s="8" t="inlineStr">
        <is>
          <t>Tested</t>
        </is>
      </c>
      <c r="F11" s="8" t="inlineStr">
        <is>
          <t>Confirmed</t>
        </is>
      </c>
      <c r="G11" s="8" t="inlineStr">
        <is>
          <t>Ready</t>
        </is>
      </c>
    </row>
    <row r="12">
      <c r="A12" s="6" t="inlineStr">
        <is>
          <t>TATA</t>
        </is>
      </c>
      <c r="B12" s="6" t="inlineStr">
        <is>
          <t>Tainted Tails</t>
        </is>
      </c>
      <c r="C12" s="6">
        <f>COUNTIF(Cards!$C:$C,A12)</f>
        <v/>
      </c>
      <c r="D12" s="6">
        <f>COUNTIFS(Cards!$C:$C,A12,Cards!$K:$K,"Yes")</f>
        <v/>
      </c>
      <c r="E12" s="6">
        <f>COUNTIFS(Cards!$C:$C,A12,Cards!$L:$L,"Yes")</f>
        <v/>
      </c>
      <c r="F12" s="6">
        <f>COUNTIFS(Cards!$C:$C,A12,Cards!$M:$M,"Yes")</f>
        <v/>
      </c>
      <c r="G12" s="6">
        <f>COUNTIFS(Cards!$C:$C,A12,Cards!$N:$N,"Yes")</f>
        <v/>
      </c>
    </row>
    <row r="13">
      <c r="A13" s="6" t="inlineStr">
        <is>
          <t>COOR</t>
        </is>
      </c>
      <c r="B13" s="6" t="inlineStr">
        <is>
          <t>Cosmic Origins</t>
        </is>
      </c>
      <c r="C13" s="6">
        <f>COUNTIF(Cards!$C:$C,A13)</f>
        <v/>
      </c>
      <c r="D13" s="6">
        <f>COUNTIFS(Cards!$C:$C,A13,Cards!$K:$K,"Yes")</f>
        <v/>
      </c>
      <c r="E13" s="6">
        <f>COUNTIFS(Cards!$C:$C,A13,Cards!$L:$L,"Yes")</f>
        <v/>
      </c>
      <c r="F13" s="6">
        <f>COUNTIFS(Cards!$C:$C,A13,Cards!$M:$M,"Yes")</f>
        <v/>
      </c>
      <c r="G13" s="6">
        <f>COUNTIFS(Cards!$C:$C,A13,Cards!$N:$N,"Yes")</f>
        <v/>
      </c>
    </row>
    <row r="14">
      <c r="A14" s="6" t="inlineStr">
        <is>
          <t>DAEL</t>
        </is>
      </c>
      <c r="B14" s="6" t="inlineStr">
        <is>
          <t>Dawn of the Elements</t>
        </is>
      </c>
      <c r="C14" s="6">
        <f>COUNTIF(Cards!$C:$C,A14)</f>
        <v/>
      </c>
      <c r="D14" s="6">
        <f>COUNTIFS(Cards!$C:$C,A14,Cards!$K:$K,"Yes")</f>
        <v/>
      </c>
      <c r="E14" s="6">
        <f>COUNTIFS(Cards!$C:$C,A14,Cards!$L:$L,"Yes")</f>
        <v/>
      </c>
      <c r="F14" s="6">
        <f>COUNTIFS(Cards!$C:$C,A14,Cards!$M:$M,"Yes")</f>
        <v/>
      </c>
      <c r="G14" s="6">
        <f>COUNTIFS(Cards!$C:$C,A14,Cards!$N:$N,"Yes")</f>
        <v/>
      </c>
    </row>
    <row r="15">
      <c r="A15" s="6" t="inlineStr"/>
      <c r="B15" s="6" t="inlineStr">
        <is>
          <t>DAEL-0XX Dawn of the Elements</t>
        </is>
      </c>
      <c r="C15" s="6">
        <f>COUNTIF(Cards!$C:$C,A15)</f>
        <v/>
      </c>
      <c r="D15" s="6">
        <f>COUNTIFS(Cards!$C:$C,A15,Cards!$K:$K,"Yes")</f>
        <v/>
      </c>
      <c r="E15" s="6">
        <f>COUNTIFS(Cards!$C:$C,A15,Cards!$L:$L,"Yes")</f>
        <v/>
      </c>
      <c r="F15" s="6">
        <f>COUNTIFS(Cards!$C:$C,A15,Cards!$M:$M,"Yes")</f>
        <v/>
      </c>
      <c r="G15" s="6">
        <f>COUNTIFS(Cards!$C:$C,A15,Cards!$N:$N,"Yes")</f>
        <v/>
      </c>
    </row>
    <row r="16">
      <c r="A16" s="6" t="inlineStr"/>
      <c r="B16" s="6" t="inlineStr">
        <is>
          <t>DAEL-XXX Dawn of the Elements</t>
        </is>
      </c>
      <c r="C16" s="6">
        <f>COUNTIF(Cards!$C:$C,A16)</f>
        <v/>
      </c>
      <c r="D16" s="6">
        <f>COUNTIFS(Cards!$C:$C,A16,Cards!$K:$K,"Yes")</f>
        <v/>
      </c>
      <c r="E16" s="6">
        <f>COUNTIFS(Cards!$C:$C,A16,Cards!$L:$L,"Yes")</f>
        <v/>
      </c>
      <c r="F16" s="6">
        <f>COUNTIFS(Cards!$C:$C,A16,Cards!$M:$M,"Yes")</f>
        <v/>
      </c>
      <c r="G16" s="6">
        <f>COUNTIFS(Cards!$C:$C,A16,Cards!$N:$N,"Yes")</f>
        <v/>
      </c>
    </row>
    <row r="17">
      <c r="A17" s="6" t="inlineStr">
        <is>
          <t>CHST</t>
        </is>
      </c>
      <c r="B17" s="6" t="inlineStr">
        <is>
          <t>Chronicles of the Starborn</t>
        </is>
      </c>
      <c r="C17" s="6">
        <f>COUNTIF(Cards!$C:$C,A17)</f>
        <v/>
      </c>
      <c r="D17" s="6">
        <f>COUNTIFS(Cards!$C:$C,A17,Cards!$K:$K,"Yes")</f>
        <v/>
      </c>
      <c r="E17" s="6">
        <f>COUNTIFS(Cards!$C:$C,A17,Cards!$L:$L,"Yes")</f>
        <v/>
      </c>
      <c r="F17" s="6">
        <f>COUNTIFS(Cards!$C:$C,A17,Cards!$M:$M,"Yes")</f>
        <v/>
      </c>
      <c r="G17" s="6">
        <f>COUNTIFS(Cards!$C:$C,A17,Cards!$N:$N,"Yes")</f>
        <v/>
      </c>
    </row>
    <row r="18">
      <c r="A18" s="6" t="inlineStr">
        <is>
          <t>PHPA</t>
        </is>
      </c>
      <c r="B18" s="6" t="inlineStr">
        <is>
          <t>Phantom Parade</t>
        </is>
      </c>
      <c r="C18" s="6">
        <f>COUNTIF(Cards!$C:$C,A18)</f>
        <v/>
      </c>
      <c r="D18" s="6">
        <f>COUNTIFS(Cards!$C:$C,A18,Cards!$K:$K,"Yes")</f>
        <v/>
      </c>
      <c r="E18" s="6">
        <f>COUNTIFS(Cards!$C:$C,A18,Cards!$L:$L,"Yes")</f>
        <v/>
      </c>
      <c r="F18" s="6">
        <f>COUNTIFS(Cards!$C:$C,A18,Cards!$M:$M,"Yes")</f>
        <v/>
      </c>
      <c r="G18" s="6">
        <f>COUNTIFS(Cards!$C:$C,A18,Cards!$N:$N,"Yes")</f>
        <v/>
      </c>
    </row>
    <row r="19">
      <c r="A19" s="6" t="inlineStr">
        <is>
          <t>UPST</t>
        </is>
      </c>
      <c r="B19" s="6" t="inlineStr">
        <is>
          <t>Upcoming Set</t>
        </is>
      </c>
      <c r="C19" s="6">
        <f>COUNTIF(Cards!$C:$C,A19)</f>
        <v/>
      </c>
      <c r="D19" s="6">
        <f>COUNTIFS(Cards!$C:$C,A19,Cards!$K:$K,"Yes")</f>
        <v/>
      </c>
      <c r="E19" s="6">
        <f>COUNTIFS(Cards!$C:$C,A19,Cards!$L:$L,"Yes")</f>
        <v/>
      </c>
      <c r="F19" s="6">
        <f>COUNTIFS(Cards!$C:$C,A19,Cards!$M:$M,"Yes")</f>
        <v/>
      </c>
      <c r="G19" s="6">
        <f>COUNTIFS(Cards!$C:$C,A19,Cards!$N:$N,"Yes")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2026-04-25T16:38:46Z</dcterms:created>
  <dcterms:modified xmlns:dcterms="http://purl.org/dc/terms/" xmlns:xsi="http://www.w3.org/2001/XMLSchema-instance" xsi:type="dcterms:W3CDTF">2026-04-25T16:38:46Z</dcterms:modified>
</cp:coreProperties>
</file>